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Default Extension="vml" ContentType="application/vnd.openxmlformats-officedocument.vmlDrawing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name="打刻" sheetId="1" state="visible" r:id="rId1"/>
    <sheet name="勤務記録" sheetId="2" state="visible" r:id="rId2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m/d"/>
    <numFmt numFmtId="165" formatCode="#,##0&quot;円&quot;"/>
    <numFmt numFmtId="166" formatCode="0.00&quot;時間&quot;"/>
  </numFmts>
  <fonts count="6">
    <font>
      <name val="Calibri"/>
      <family val="2"/>
      <color theme="1"/>
      <sz val="11"/>
      <scheme val="minor"/>
    </font>
    <font>
      <b val="1"/>
      <sz val="18"/>
    </font>
    <font>
      <color rgb="00C00000"/>
    </font>
    <font>
      <color rgb="00808080"/>
      <sz val="9"/>
    </font>
    <font>
      <b val="1"/>
    </font>
    <font>
      <b val="1"/>
      <color rgb="000000FF"/>
    </font>
  </fonts>
  <fills count="4">
    <fill>
      <patternFill/>
    </fill>
    <fill>
      <patternFill patternType="gray125"/>
    </fill>
    <fill>
      <patternFill patternType="solid">
        <fgColor rgb="00D9D9D9"/>
      </patternFill>
    </fill>
    <fill>
      <patternFill patternType="solid">
        <fgColor rgb="00FFF2CC"/>
      </patternFill>
    </fill>
  </fills>
  <borders count="2">
    <border>
      <left/>
      <right/>
      <top/>
      <bottom/>
      <diagonal/>
    </border>
    <border>
      <left style="thin">
        <color rgb="00BBBBBB"/>
      </left>
      <right style="thin">
        <color rgb="00BBBBBB"/>
      </right>
      <top style="thin">
        <color rgb="00BBBBBB"/>
      </top>
      <bottom style="thin">
        <color rgb="00BBBBBB"/>
      </bottom>
    </border>
  </borders>
  <cellStyleXfs count="1">
    <xf numFmtId="0" fontId="0" fillId="0" borderId="0"/>
  </cellStyleXfs>
  <cellXfs count="13">
    <xf numFmtId="0" fontId="0" fillId="0" borderId="0" pivotButton="0" quotePrefix="0" xfId="0"/>
    <xf numFmtId="0" fontId="1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2" borderId="1" applyAlignment="1" pivotButton="0" quotePrefix="0" xfId="0">
      <alignment horizontal="center" vertical="center"/>
    </xf>
    <xf numFmtId="165" fontId="5" fillId="3" borderId="0" pivotButton="0" quotePrefix="0" xfId="0"/>
    <xf numFmtId="164" fontId="0" fillId="0" borderId="1" applyAlignment="1" pivotButton="0" quotePrefix="0" xfId="0">
      <alignment horizontal="center" vertical="center"/>
    </xf>
    <xf numFmtId="2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1" fontId="0" fillId="0" borderId="0" pivotButton="0" quotePrefix="0" xfId="0"/>
    <xf numFmtId="165" fontId="0" fillId="0" borderId="0" pivotButton="0" quotePrefix="0" xfId="0"/>
    <xf numFmtId="166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Vml" Type="http://schemas.openxmlformats.org/officeDocument/2006/relationships/vmlDrawing" Target="../drawings/vmlDrawing1.v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A14"/>
  <sheetViews>
    <sheetView workbookViewId="0">
      <selection activeCell="A1" sqref="A1"/>
    </sheetView>
  </sheetViews>
  <sheetFormatPr baseColWidth="8" defaultRowHeight="15"/>
  <cols>
    <col width="62" customWidth="1" min="1" max="1"/>
  </cols>
  <sheetData>
    <row r="1">
      <c r="A1" s="1" t="inlineStr">
        <is>
          <t>勤怠 打刻</t>
        </is>
      </c>
    </row>
    <row r="3">
      <c r="A3" t="inlineStr">
        <is>
          <t>下のボタンを押すだけで、「勤務記録」タブに時刻が記録され自動計算されます。</t>
        </is>
      </c>
    </row>
    <row r="4">
      <c r="A4" t="inlineStr">
        <is>
          <t xml:space="preserve">　① 仕事を始めるとき → 「出勤」ボタン</t>
        </is>
      </c>
    </row>
    <row r="5">
      <c r="A5" t="inlineStr">
        <is>
          <t xml:space="preserve">　② 仕事を終えたとき → 「退勤」ボタン</t>
        </is>
      </c>
    </row>
    <row r="6">
      <c r="A6" s="2" t="inlineStr">
        <is>
          <t>※ マクロを有効にしてください（ファイルを開いた際の警告バーで「コンテンツの有効化」）。</t>
        </is>
      </c>
    </row>
    <row r="13">
      <c r="A13" s="3" t="inlineStr">
        <is>
          <t>※ ボタンが動かない環境（Web版Excel・Numbers・Googleスプレッドシート等）では、</t>
        </is>
      </c>
    </row>
    <row r="14">
      <c r="A14" s="3" t="inlineStr">
        <is>
          <t xml:space="preserve">　「勤務記録」タブに 日付・出勤・退勤 を直接入力しても自動計算されます。</t>
        </is>
      </c>
    </row>
  </sheetData>
  <pageMargins left="0.75" right="0.75" top="1" bottom="1" header="0.5" footer="0.5"/>
  <legacyDrawing r:id="rId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H30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1" customWidth="1" min="1" max="1"/>
    <col width="9" customWidth="1" min="2" max="2"/>
    <col width="9" customWidth="1" min="3" max="3"/>
    <col width="14" customWidth="1" min="4" max="4"/>
    <col width="12" customWidth="1" min="5" max="5"/>
    <col hidden="1" width="10" customWidth="1" min="6" max="6"/>
    <col width="26" customWidth="1" min="7" max="7"/>
    <col width="12" customWidth="1" min="8" max="8"/>
  </cols>
  <sheetData>
    <row r="1">
      <c r="A1" s="4" t="inlineStr">
        <is>
          <t>日付</t>
        </is>
      </c>
      <c r="B1" s="4" t="inlineStr">
        <is>
          <t>出勤</t>
        </is>
      </c>
      <c r="C1" s="4" t="inlineStr">
        <is>
          <t>退勤</t>
        </is>
      </c>
      <c r="D1" s="4" t="inlineStr">
        <is>
          <t>勤務時間</t>
        </is>
      </c>
      <c r="E1" s="4" t="inlineStr">
        <is>
          <t>給料</t>
        </is>
      </c>
      <c r="F1" t="inlineStr">
        <is>
          <t>分(数値)</t>
        </is>
      </c>
      <c r="G1" t="inlineStr">
        <is>
          <t>8時間あたりの給料(円)</t>
        </is>
      </c>
      <c r="H1" s="5" t="n">
        <v>35000</v>
      </c>
    </row>
    <row r="2">
      <c r="A2" s="6" t="n">
        <v>46227</v>
      </c>
      <c r="B2" s="7" t="n">
        <v>0.7291666666666666</v>
      </c>
      <c r="C2" s="7" t="n">
        <v>0.8333333333333334</v>
      </c>
      <c r="D2" s="8">
        <f>IF(OR(B2="",C2=""),"",INT(F2/60)&amp;"時間 "&amp;MOD(F2,60)&amp;"分")</f>
        <v/>
      </c>
      <c r="E2" s="9">
        <f>IF(OR(B2="",C2=""),"",F2/480*$H$1)</f>
        <v/>
      </c>
      <c r="F2" s="10">
        <f>IF(OR(B2="",C2=""),"",ROUND(MOD(C2-B2,1)*1440,0))</f>
        <v/>
      </c>
      <c r="G2" t="inlineStr">
        <is>
          <t>→ 時給(円)</t>
        </is>
      </c>
      <c r="H2" s="11">
        <f>H1/8</f>
        <v/>
      </c>
    </row>
    <row r="3">
      <c r="A3" s="6" t="n">
        <v>46228</v>
      </c>
      <c r="B3" s="7" t="n">
        <v>0.5833333333333334</v>
      </c>
      <c r="C3" s="7" t="n">
        <v>0.625</v>
      </c>
      <c r="D3" s="8">
        <f>IF(OR(B3="",C3=""),"",INT(F3/60)&amp;"時間 "&amp;MOD(F3,60)&amp;"分")</f>
        <v/>
      </c>
      <c r="E3" s="9">
        <f>IF(OR(B3="",C3=""),"",F3/480*$H$1)</f>
        <v/>
      </c>
      <c r="F3" s="10">
        <f>IF(OR(B3="",C3=""),"",ROUND(MOD(C3-B3,1)*1440,0))</f>
        <v/>
      </c>
    </row>
    <row r="4">
      <c r="A4" s="6" t="n">
        <v>46229</v>
      </c>
      <c r="B4" s="7" t="n">
        <v>0.9166666666666666</v>
      </c>
      <c r="C4" s="7" t="n">
        <v>0.125</v>
      </c>
      <c r="D4" s="8">
        <f>IF(OR(B4="",C4=""),"",INT(F4/60)&amp;"時間 "&amp;MOD(F4,60)&amp;"分")</f>
        <v/>
      </c>
      <c r="E4" s="9">
        <f>IF(OR(B4="",C4=""),"",F4/480*$H$1)</f>
        <v/>
      </c>
      <c r="F4" s="10">
        <f>IF(OR(B4="",C4=""),"",ROUND(MOD(C4-B4,1)*1440,0))</f>
        <v/>
      </c>
      <c r="G4" t="inlineStr">
        <is>
          <t>合計勤務時間</t>
        </is>
      </c>
      <c r="H4" s="12">
        <f>SUM(F2:F301)/60</f>
        <v/>
      </c>
    </row>
    <row r="5">
      <c r="A5" s="6" t="n"/>
      <c r="B5" s="7" t="n"/>
      <c r="C5" s="7" t="n"/>
      <c r="D5" s="8">
        <f>IF(OR(B5="",C5=""),"",INT(F5/60)&amp;"時間 "&amp;MOD(F5,60)&amp;"分")</f>
        <v/>
      </c>
      <c r="E5" s="9">
        <f>IF(OR(B5="",C5=""),"",F5/480*$H$1)</f>
        <v/>
      </c>
      <c r="F5" s="10">
        <f>IF(OR(B5="",C5=""),"",ROUND(MOD(C5-B5,1)*1440,0))</f>
        <v/>
      </c>
      <c r="G5" t="inlineStr">
        <is>
          <t>合計給料(円)</t>
        </is>
      </c>
      <c r="H5" s="11">
        <f>SUM(E2:E301)</f>
        <v/>
      </c>
    </row>
    <row r="6">
      <c r="A6" s="6" t="n"/>
      <c r="B6" s="7" t="n"/>
      <c r="C6" s="7" t="n"/>
      <c r="D6" s="8">
        <f>IF(OR(B6="",C6=""),"",INT(F6/60)&amp;"時間 "&amp;MOD(F6,60)&amp;"分")</f>
        <v/>
      </c>
      <c r="E6" s="9">
        <f>IF(OR(B6="",C6=""),"",F6/480*$H$1)</f>
        <v/>
      </c>
      <c r="F6" s="10">
        <f>IF(OR(B6="",C6=""),"",ROUND(MOD(C6-B6,1)*1440,0))</f>
        <v/>
      </c>
    </row>
    <row r="7">
      <c r="A7" s="6" t="n"/>
      <c r="B7" s="7" t="n"/>
      <c r="C7" s="7" t="n"/>
      <c r="D7" s="8">
        <f>IF(OR(B7="",C7=""),"",INT(F7/60)&amp;"時間 "&amp;MOD(F7,60)&amp;"分")</f>
        <v/>
      </c>
      <c r="E7" s="9">
        <f>IF(OR(B7="",C7=""),"",F7/480*$H$1)</f>
        <v/>
      </c>
      <c r="F7" s="10">
        <f>IF(OR(B7="",C7=""),"",ROUND(MOD(C7-B7,1)*1440,0))</f>
        <v/>
      </c>
      <c r="G7" s="3" t="inlineStr">
        <is>
          <t>※ 上の3行はサンプルです。不要なら削除してください。</t>
        </is>
      </c>
    </row>
    <row r="8">
      <c r="A8" s="6" t="n"/>
      <c r="B8" s="7" t="n"/>
      <c r="C8" s="7" t="n"/>
      <c r="D8" s="8">
        <f>IF(OR(B8="",C8=""),"",INT(F8/60)&amp;"時間 "&amp;MOD(F8,60)&amp;"分")</f>
        <v/>
      </c>
      <c r="E8" s="9">
        <f>IF(OR(B8="",C8=""),"",F8/480*$H$1)</f>
        <v/>
      </c>
      <c r="F8" s="10">
        <f>IF(OR(B8="",C8=""),"",ROUND(MOD(C8-B8,1)*1440,0))</f>
        <v/>
      </c>
      <c r="G8" s="3" t="inlineStr">
        <is>
          <t>※ 黄色/青のセル(H1)を変えると給料の単価を調整できます。</t>
        </is>
      </c>
    </row>
    <row r="9">
      <c r="A9" s="6" t="n"/>
      <c r="B9" s="7" t="n"/>
      <c r="C9" s="7" t="n"/>
      <c r="D9" s="8">
        <f>IF(OR(B9="",C9=""),"",INT(F9/60)&amp;"時間 "&amp;MOD(F9,60)&amp;"分")</f>
        <v/>
      </c>
      <c r="E9" s="9">
        <f>IF(OR(B9="",C9=""),"",F9/480*$H$1)</f>
        <v/>
      </c>
      <c r="F9" s="10">
        <f>IF(OR(B9="",C9=""),"",ROUND(MOD(C9-B9,1)*1440,0))</f>
        <v/>
      </c>
    </row>
    <row r="10">
      <c r="A10" s="6" t="n"/>
      <c r="B10" s="7" t="n"/>
      <c r="C10" s="7" t="n"/>
      <c r="D10" s="8">
        <f>IF(OR(B10="",C10=""),"",INT(F10/60)&amp;"時間 "&amp;MOD(F10,60)&amp;"分")</f>
        <v/>
      </c>
      <c r="E10" s="9">
        <f>IF(OR(B10="",C10=""),"",F10/480*$H$1)</f>
        <v/>
      </c>
      <c r="F10" s="10">
        <f>IF(OR(B10="",C10=""),"",ROUND(MOD(C10-B10,1)*1440,0))</f>
        <v/>
      </c>
    </row>
    <row r="11">
      <c r="A11" s="6" t="n"/>
      <c r="B11" s="7" t="n"/>
      <c r="C11" s="7" t="n"/>
      <c r="D11" s="8">
        <f>IF(OR(B11="",C11=""),"",INT(F11/60)&amp;"時間 "&amp;MOD(F11,60)&amp;"分")</f>
        <v/>
      </c>
      <c r="E11" s="9">
        <f>IF(OR(B11="",C11=""),"",F11/480*$H$1)</f>
        <v/>
      </c>
      <c r="F11" s="10">
        <f>IF(OR(B11="",C11=""),"",ROUND(MOD(C11-B11,1)*1440,0))</f>
        <v/>
      </c>
    </row>
    <row r="12">
      <c r="A12" s="6" t="n"/>
      <c r="B12" s="7" t="n"/>
      <c r="C12" s="7" t="n"/>
      <c r="D12" s="8">
        <f>IF(OR(B12="",C12=""),"",INT(F12/60)&amp;"時間 "&amp;MOD(F12,60)&amp;"分")</f>
        <v/>
      </c>
      <c r="E12" s="9">
        <f>IF(OR(B12="",C12=""),"",F12/480*$H$1)</f>
        <v/>
      </c>
      <c r="F12" s="10">
        <f>IF(OR(B12="",C12=""),"",ROUND(MOD(C12-B12,1)*1440,0))</f>
        <v/>
      </c>
    </row>
    <row r="13">
      <c r="A13" s="6" t="n"/>
      <c r="B13" s="7" t="n"/>
      <c r="C13" s="7" t="n"/>
      <c r="D13" s="8">
        <f>IF(OR(B13="",C13=""),"",INT(F13/60)&amp;"時間 "&amp;MOD(F13,60)&amp;"分")</f>
        <v/>
      </c>
      <c r="E13" s="9">
        <f>IF(OR(B13="",C13=""),"",F13/480*$H$1)</f>
        <v/>
      </c>
      <c r="F13" s="10">
        <f>IF(OR(B13="",C13=""),"",ROUND(MOD(C13-B13,1)*1440,0))</f>
        <v/>
      </c>
    </row>
    <row r="14">
      <c r="A14" s="6" t="n"/>
      <c r="B14" s="7" t="n"/>
      <c r="C14" s="7" t="n"/>
      <c r="D14" s="8">
        <f>IF(OR(B14="",C14=""),"",INT(F14/60)&amp;"時間 "&amp;MOD(F14,60)&amp;"分")</f>
        <v/>
      </c>
      <c r="E14" s="9">
        <f>IF(OR(B14="",C14=""),"",F14/480*$H$1)</f>
        <v/>
      </c>
      <c r="F14" s="10">
        <f>IF(OR(B14="",C14=""),"",ROUND(MOD(C14-B14,1)*1440,0))</f>
        <v/>
      </c>
    </row>
    <row r="15">
      <c r="A15" s="6" t="n"/>
      <c r="B15" s="7" t="n"/>
      <c r="C15" s="7" t="n"/>
      <c r="D15" s="8">
        <f>IF(OR(B15="",C15=""),"",INT(F15/60)&amp;"時間 "&amp;MOD(F15,60)&amp;"分")</f>
        <v/>
      </c>
      <c r="E15" s="9">
        <f>IF(OR(B15="",C15=""),"",F15/480*$H$1)</f>
        <v/>
      </c>
      <c r="F15" s="10">
        <f>IF(OR(B15="",C15=""),"",ROUND(MOD(C15-B15,1)*1440,0))</f>
        <v/>
      </c>
    </row>
    <row r="16">
      <c r="A16" s="6" t="n"/>
      <c r="B16" s="7" t="n"/>
      <c r="C16" s="7" t="n"/>
      <c r="D16" s="8">
        <f>IF(OR(B16="",C16=""),"",INT(F16/60)&amp;"時間 "&amp;MOD(F16,60)&amp;"分")</f>
        <v/>
      </c>
      <c r="E16" s="9">
        <f>IF(OR(B16="",C16=""),"",F16/480*$H$1)</f>
        <v/>
      </c>
      <c r="F16" s="10">
        <f>IF(OR(B16="",C16=""),"",ROUND(MOD(C16-B16,1)*1440,0))</f>
        <v/>
      </c>
    </row>
    <row r="17">
      <c r="A17" s="6" t="n"/>
      <c r="B17" s="7" t="n"/>
      <c r="C17" s="7" t="n"/>
      <c r="D17" s="8">
        <f>IF(OR(B17="",C17=""),"",INT(F17/60)&amp;"時間 "&amp;MOD(F17,60)&amp;"分")</f>
        <v/>
      </c>
      <c r="E17" s="9">
        <f>IF(OR(B17="",C17=""),"",F17/480*$H$1)</f>
        <v/>
      </c>
      <c r="F17" s="10">
        <f>IF(OR(B17="",C17=""),"",ROUND(MOD(C17-B17,1)*1440,0))</f>
        <v/>
      </c>
    </row>
    <row r="18">
      <c r="A18" s="6" t="n"/>
      <c r="B18" s="7" t="n"/>
      <c r="C18" s="7" t="n"/>
      <c r="D18" s="8">
        <f>IF(OR(B18="",C18=""),"",INT(F18/60)&amp;"時間 "&amp;MOD(F18,60)&amp;"分")</f>
        <v/>
      </c>
      <c r="E18" s="9">
        <f>IF(OR(B18="",C18=""),"",F18/480*$H$1)</f>
        <v/>
      </c>
      <c r="F18" s="10">
        <f>IF(OR(B18="",C18=""),"",ROUND(MOD(C18-B18,1)*1440,0))</f>
        <v/>
      </c>
    </row>
    <row r="19">
      <c r="A19" s="6" t="n"/>
      <c r="B19" s="7" t="n"/>
      <c r="C19" s="7" t="n"/>
      <c r="D19" s="8">
        <f>IF(OR(B19="",C19=""),"",INT(F19/60)&amp;"時間 "&amp;MOD(F19,60)&amp;"分")</f>
        <v/>
      </c>
      <c r="E19" s="9">
        <f>IF(OR(B19="",C19=""),"",F19/480*$H$1)</f>
        <v/>
      </c>
      <c r="F19" s="10">
        <f>IF(OR(B19="",C19=""),"",ROUND(MOD(C19-B19,1)*1440,0))</f>
        <v/>
      </c>
    </row>
    <row r="20">
      <c r="A20" s="6" t="n"/>
      <c r="B20" s="7" t="n"/>
      <c r="C20" s="7" t="n"/>
      <c r="D20" s="8">
        <f>IF(OR(B20="",C20=""),"",INT(F20/60)&amp;"時間 "&amp;MOD(F20,60)&amp;"分")</f>
        <v/>
      </c>
      <c r="E20" s="9">
        <f>IF(OR(B20="",C20=""),"",F20/480*$H$1)</f>
        <v/>
      </c>
      <c r="F20" s="10">
        <f>IF(OR(B20="",C20=""),"",ROUND(MOD(C20-B20,1)*1440,0))</f>
        <v/>
      </c>
    </row>
    <row r="21">
      <c r="A21" s="6" t="n"/>
      <c r="B21" s="7" t="n"/>
      <c r="C21" s="7" t="n"/>
      <c r="D21" s="8">
        <f>IF(OR(B21="",C21=""),"",INT(F21/60)&amp;"時間 "&amp;MOD(F21,60)&amp;"分")</f>
        <v/>
      </c>
      <c r="E21" s="9">
        <f>IF(OR(B21="",C21=""),"",F21/480*$H$1)</f>
        <v/>
      </c>
      <c r="F21" s="10">
        <f>IF(OR(B21="",C21=""),"",ROUND(MOD(C21-B21,1)*1440,0))</f>
        <v/>
      </c>
    </row>
    <row r="22">
      <c r="A22" s="6" t="n"/>
      <c r="B22" s="7" t="n"/>
      <c r="C22" s="7" t="n"/>
      <c r="D22" s="8">
        <f>IF(OR(B22="",C22=""),"",INT(F22/60)&amp;"時間 "&amp;MOD(F22,60)&amp;"分")</f>
        <v/>
      </c>
      <c r="E22" s="9">
        <f>IF(OR(B22="",C22=""),"",F22/480*$H$1)</f>
        <v/>
      </c>
      <c r="F22" s="10">
        <f>IF(OR(B22="",C22=""),"",ROUND(MOD(C22-B22,1)*1440,0))</f>
        <v/>
      </c>
    </row>
    <row r="23">
      <c r="A23" s="6" t="n"/>
      <c r="B23" s="7" t="n"/>
      <c r="C23" s="7" t="n"/>
      <c r="D23" s="8">
        <f>IF(OR(B23="",C23=""),"",INT(F23/60)&amp;"時間 "&amp;MOD(F23,60)&amp;"分")</f>
        <v/>
      </c>
      <c r="E23" s="9">
        <f>IF(OR(B23="",C23=""),"",F23/480*$H$1)</f>
        <v/>
      </c>
      <c r="F23" s="10">
        <f>IF(OR(B23="",C23=""),"",ROUND(MOD(C23-B23,1)*1440,0))</f>
        <v/>
      </c>
    </row>
    <row r="24">
      <c r="A24" s="6" t="n"/>
      <c r="B24" s="7" t="n"/>
      <c r="C24" s="7" t="n"/>
      <c r="D24" s="8">
        <f>IF(OR(B24="",C24=""),"",INT(F24/60)&amp;"時間 "&amp;MOD(F24,60)&amp;"分")</f>
        <v/>
      </c>
      <c r="E24" s="9">
        <f>IF(OR(B24="",C24=""),"",F24/480*$H$1)</f>
        <v/>
      </c>
      <c r="F24" s="10">
        <f>IF(OR(B24="",C24=""),"",ROUND(MOD(C24-B24,1)*1440,0))</f>
        <v/>
      </c>
    </row>
    <row r="25">
      <c r="A25" s="6" t="n"/>
      <c r="B25" s="7" t="n"/>
      <c r="C25" s="7" t="n"/>
      <c r="D25" s="8">
        <f>IF(OR(B25="",C25=""),"",INT(F25/60)&amp;"時間 "&amp;MOD(F25,60)&amp;"分")</f>
        <v/>
      </c>
      <c r="E25" s="9">
        <f>IF(OR(B25="",C25=""),"",F25/480*$H$1)</f>
        <v/>
      </c>
      <c r="F25" s="10">
        <f>IF(OR(B25="",C25=""),"",ROUND(MOD(C25-B25,1)*1440,0))</f>
        <v/>
      </c>
    </row>
    <row r="26">
      <c r="A26" s="6" t="n"/>
      <c r="B26" s="7" t="n"/>
      <c r="C26" s="7" t="n"/>
      <c r="D26" s="8">
        <f>IF(OR(B26="",C26=""),"",INT(F26/60)&amp;"時間 "&amp;MOD(F26,60)&amp;"分")</f>
        <v/>
      </c>
      <c r="E26" s="9">
        <f>IF(OR(B26="",C26=""),"",F26/480*$H$1)</f>
        <v/>
      </c>
      <c r="F26" s="10">
        <f>IF(OR(B26="",C26=""),"",ROUND(MOD(C26-B26,1)*1440,0))</f>
        <v/>
      </c>
    </row>
    <row r="27">
      <c r="A27" s="6" t="n"/>
      <c r="B27" s="7" t="n"/>
      <c r="C27" s="7" t="n"/>
      <c r="D27" s="8">
        <f>IF(OR(B27="",C27=""),"",INT(F27/60)&amp;"時間 "&amp;MOD(F27,60)&amp;"分")</f>
        <v/>
      </c>
      <c r="E27" s="9">
        <f>IF(OR(B27="",C27=""),"",F27/480*$H$1)</f>
        <v/>
      </c>
      <c r="F27" s="10">
        <f>IF(OR(B27="",C27=""),"",ROUND(MOD(C27-B27,1)*1440,0))</f>
        <v/>
      </c>
    </row>
    <row r="28">
      <c r="A28" s="6" t="n"/>
      <c r="B28" s="7" t="n"/>
      <c r="C28" s="7" t="n"/>
      <c r="D28" s="8">
        <f>IF(OR(B28="",C28=""),"",INT(F28/60)&amp;"時間 "&amp;MOD(F28,60)&amp;"分")</f>
        <v/>
      </c>
      <c r="E28" s="9">
        <f>IF(OR(B28="",C28=""),"",F28/480*$H$1)</f>
        <v/>
      </c>
      <c r="F28" s="10">
        <f>IF(OR(B28="",C28=""),"",ROUND(MOD(C28-B28,1)*1440,0))</f>
        <v/>
      </c>
    </row>
    <row r="29">
      <c r="A29" s="6" t="n"/>
      <c r="B29" s="7" t="n"/>
      <c r="C29" s="7" t="n"/>
      <c r="D29" s="8">
        <f>IF(OR(B29="",C29=""),"",INT(F29/60)&amp;"時間 "&amp;MOD(F29,60)&amp;"分")</f>
        <v/>
      </c>
      <c r="E29" s="9">
        <f>IF(OR(B29="",C29=""),"",F29/480*$H$1)</f>
        <v/>
      </c>
      <c r="F29" s="10">
        <f>IF(OR(B29="",C29=""),"",ROUND(MOD(C29-B29,1)*1440,0))</f>
        <v/>
      </c>
    </row>
    <row r="30">
      <c r="A30" s="6" t="n"/>
      <c r="B30" s="7" t="n"/>
      <c r="C30" s="7" t="n"/>
      <c r="D30" s="8">
        <f>IF(OR(B30="",C30=""),"",INT(F30/60)&amp;"時間 "&amp;MOD(F30,60)&amp;"分")</f>
        <v/>
      </c>
      <c r="E30" s="9">
        <f>IF(OR(B30="",C30=""),"",F30/480*$H$1)</f>
        <v/>
      </c>
      <c r="F30" s="10">
        <f>IF(OR(B30="",C30=""),"",ROUND(MOD(C30-B30,1)*1440,0))</f>
        <v/>
      </c>
    </row>
    <row r="31">
      <c r="A31" s="6" t="n"/>
      <c r="B31" s="7" t="n"/>
      <c r="C31" s="7" t="n"/>
      <c r="D31" s="8">
        <f>IF(OR(B31="",C31=""),"",INT(F31/60)&amp;"時間 "&amp;MOD(F31,60)&amp;"分")</f>
        <v/>
      </c>
      <c r="E31" s="9">
        <f>IF(OR(B31="",C31=""),"",F31/480*$H$1)</f>
        <v/>
      </c>
      <c r="F31" s="10">
        <f>IF(OR(B31="",C31=""),"",ROUND(MOD(C31-B31,1)*1440,0))</f>
        <v/>
      </c>
    </row>
    <row r="32">
      <c r="A32" s="6" t="n"/>
      <c r="B32" s="7" t="n"/>
      <c r="C32" s="7" t="n"/>
      <c r="D32" s="8">
        <f>IF(OR(B32="",C32=""),"",INT(F32/60)&amp;"時間 "&amp;MOD(F32,60)&amp;"分")</f>
        <v/>
      </c>
      <c r="E32" s="9">
        <f>IF(OR(B32="",C32=""),"",F32/480*$H$1)</f>
        <v/>
      </c>
      <c r="F32" s="10">
        <f>IF(OR(B32="",C32=""),"",ROUND(MOD(C32-B32,1)*1440,0))</f>
        <v/>
      </c>
    </row>
    <row r="33">
      <c r="A33" s="6" t="n"/>
      <c r="B33" s="7" t="n"/>
      <c r="C33" s="7" t="n"/>
      <c r="D33" s="8">
        <f>IF(OR(B33="",C33=""),"",INT(F33/60)&amp;"時間 "&amp;MOD(F33,60)&amp;"分")</f>
        <v/>
      </c>
      <c r="E33" s="9">
        <f>IF(OR(B33="",C33=""),"",F33/480*$H$1)</f>
        <v/>
      </c>
      <c r="F33" s="10">
        <f>IF(OR(B33="",C33=""),"",ROUND(MOD(C33-B33,1)*1440,0))</f>
        <v/>
      </c>
    </row>
    <row r="34">
      <c r="A34" s="6" t="n"/>
      <c r="B34" s="7" t="n"/>
      <c r="C34" s="7" t="n"/>
      <c r="D34" s="8">
        <f>IF(OR(B34="",C34=""),"",INT(F34/60)&amp;"時間 "&amp;MOD(F34,60)&amp;"分")</f>
        <v/>
      </c>
      <c r="E34" s="9">
        <f>IF(OR(B34="",C34=""),"",F34/480*$H$1)</f>
        <v/>
      </c>
      <c r="F34" s="10">
        <f>IF(OR(B34="",C34=""),"",ROUND(MOD(C34-B34,1)*1440,0))</f>
        <v/>
      </c>
    </row>
    <row r="35">
      <c r="A35" s="6" t="n"/>
      <c r="B35" s="7" t="n"/>
      <c r="C35" s="7" t="n"/>
      <c r="D35" s="8">
        <f>IF(OR(B35="",C35=""),"",INT(F35/60)&amp;"時間 "&amp;MOD(F35,60)&amp;"分")</f>
        <v/>
      </c>
      <c r="E35" s="9">
        <f>IF(OR(B35="",C35=""),"",F35/480*$H$1)</f>
        <v/>
      </c>
      <c r="F35" s="10">
        <f>IF(OR(B35="",C35=""),"",ROUND(MOD(C35-B35,1)*1440,0))</f>
        <v/>
      </c>
    </row>
    <row r="36">
      <c r="A36" s="6" t="n"/>
      <c r="B36" s="7" t="n"/>
      <c r="C36" s="7" t="n"/>
      <c r="D36" s="8">
        <f>IF(OR(B36="",C36=""),"",INT(F36/60)&amp;"時間 "&amp;MOD(F36,60)&amp;"分")</f>
        <v/>
      </c>
      <c r="E36" s="9">
        <f>IF(OR(B36="",C36=""),"",F36/480*$H$1)</f>
        <v/>
      </c>
      <c r="F36" s="10">
        <f>IF(OR(B36="",C36=""),"",ROUND(MOD(C36-B36,1)*1440,0))</f>
        <v/>
      </c>
    </row>
    <row r="37">
      <c r="A37" s="6" t="n"/>
      <c r="B37" s="7" t="n"/>
      <c r="C37" s="7" t="n"/>
      <c r="D37" s="8">
        <f>IF(OR(B37="",C37=""),"",INT(F37/60)&amp;"時間 "&amp;MOD(F37,60)&amp;"分")</f>
        <v/>
      </c>
      <c r="E37" s="9">
        <f>IF(OR(B37="",C37=""),"",F37/480*$H$1)</f>
        <v/>
      </c>
      <c r="F37" s="10">
        <f>IF(OR(B37="",C37=""),"",ROUND(MOD(C37-B37,1)*1440,0))</f>
        <v/>
      </c>
    </row>
    <row r="38">
      <c r="A38" s="6" t="n"/>
      <c r="B38" s="7" t="n"/>
      <c r="C38" s="7" t="n"/>
      <c r="D38" s="8">
        <f>IF(OR(B38="",C38=""),"",INT(F38/60)&amp;"時間 "&amp;MOD(F38,60)&amp;"分")</f>
        <v/>
      </c>
      <c r="E38" s="9">
        <f>IF(OR(B38="",C38=""),"",F38/480*$H$1)</f>
        <v/>
      </c>
      <c r="F38" s="10">
        <f>IF(OR(B38="",C38=""),"",ROUND(MOD(C38-B38,1)*1440,0))</f>
        <v/>
      </c>
    </row>
    <row r="39">
      <c r="A39" s="6" t="n"/>
      <c r="B39" s="7" t="n"/>
      <c r="C39" s="7" t="n"/>
      <c r="D39" s="8">
        <f>IF(OR(B39="",C39=""),"",INT(F39/60)&amp;"時間 "&amp;MOD(F39,60)&amp;"分")</f>
        <v/>
      </c>
      <c r="E39" s="9">
        <f>IF(OR(B39="",C39=""),"",F39/480*$H$1)</f>
        <v/>
      </c>
      <c r="F39" s="10">
        <f>IF(OR(B39="",C39=""),"",ROUND(MOD(C39-B39,1)*1440,0))</f>
        <v/>
      </c>
    </row>
    <row r="40">
      <c r="A40" s="6" t="n"/>
      <c r="B40" s="7" t="n"/>
      <c r="C40" s="7" t="n"/>
      <c r="D40" s="8">
        <f>IF(OR(B40="",C40=""),"",INT(F40/60)&amp;"時間 "&amp;MOD(F40,60)&amp;"分")</f>
        <v/>
      </c>
      <c r="E40" s="9">
        <f>IF(OR(B40="",C40=""),"",F40/480*$H$1)</f>
        <v/>
      </c>
      <c r="F40" s="10">
        <f>IF(OR(B40="",C40=""),"",ROUND(MOD(C40-B40,1)*1440,0))</f>
        <v/>
      </c>
    </row>
    <row r="41">
      <c r="A41" s="6" t="n"/>
      <c r="B41" s="7" t="n"/>
      <c r="C41" s="7" t="n"/>
      <c r="D41" s="8">
        <f>IF(OR(B41="",C41=""),"",INT(F41/60)&amp;"時間 "&amp;MOD(F41,60)&amp;"分")</f>
        <v/>
      </c>
      <c r="E41" s="9">
        <f>IF(OR(B41="",C41=""),"",F41/480*$H$1)</f>
        <v/>
      </c>
      <c r="F41" s="10">
        <f>IF(OR(B41="",C41=""),"",ROUND(MOD(C41-B41,1)*1440,0))</f>
        <v/>
      </c>
    </row>
    <row r="42">
      <c r="A42" s="6" t="n"/>
      <c r="B42" s="7" t="n"/>
      <c r="C42" s="7" t="n"/>
      <c r="D42" s="8">
        <f>IF(OR(B42="",C42=""),"",INT(F42/60)&amp;"時間 "&amp;MOD(F42,60)&amp;"分")</f>
        <v/>
      </c>
      <c r="E42" s="9">
        <f>IF(OR(B42="",C42=""),"",F42/480*$H$1)</f>
        <v/>
      </c>
      <c r="F42" s="10">
        <f>IF(OR(B42="",C42=""),"",ROUND(MOD(C42-B42,1)*1440,0))</f>
        <v/>
      </c>
    </row>
    <row r="43">
      <c r="A43" s="6" t="n"/>
      <c r="B43" s="7" t="n"/>
      <c r="C43" s="7" t="n"/>
      <c r="D43" s="8">
        <f>IF(OR(B43="",C43=""),"",INT(F43/60)&amp;"時間 "&amp;MOD(F43,60)&amp;"分")</f>
        <v/>
      </c>
      <c r="E43" s="9">
        <f>IF(OR(B43="",C43=""),"",F43/480*$H$1)</f>
        <v/>
      </c>
      <c r="F43" s="10">
        <f>IF(OR(B43="",C43=""),"",ROUND(MOD(C43-B43,1)*1440,0))</f>
        <v/>
      </c>
    </row>
    <row r="44">
      <c r="A44" s="6" t="n"/>
      <c r="B44" s="7" t="n"/>
      <c r="C44" s="7" t="n"/>
      <c r="D44" s="8">
        <f>IF(OR(B44="",C44=""),"",INT(F44/60)&amp;"時間 "&amp;MOD(F44,60)&amp;"分")</f>
        <v/>
      </c>
      <c r="E44" s="9">
        <f>IF(OR(B44="",C44=""),"",F44/480*$H$1)</f>
        <v/>
      </c>
      <c r="F44" s="10">
        <f>IF(OR(B44="",C44=""),"",ROUND(MOD(C44-B44,1)*1440,0))</f>
        <v/>
      </c>
    </row>
    <row r="45">
      <c r="A45" s="6" t="n"/>
      <c r="B45" s="7" t="n"/>
      <c r="C45" s="7" t="n"/>
      <c r="D45" s="8">
        <f>IF(OR(B45="",C45=""),"",INT(F45/60)&amp;"時間 "&amp;MOD(F45,60)&amp;"分")</f>
        <v/>
      </c>
      <c r="E45" s="9">
        <f>IF(OR(B45="",C45=""),"",F45/480*$H$1)</f>
        <v/>
      </c>
      <c r="F45" s="10">
        <f>IF(OR(B45="",C45=""),"",ROUND(MOD(C45-B45,1)*1440,0))</f>
        <v/>
      </c>
    </row>
    <row r="46">
      <c r="A46" s="6" t="n"/>
      <c r="B46" s="7" t="n"/>
      <c r="C46" s="7" t="n"/>
      <c r="D46" s="8">
        <f>IF(OR(B46="",C46=""),"",INT(F46/60)&amp;"時間 "&amp;MOD(F46,60)&amp;"分")</f>
        <v/>
      </c>
      <c r="E46" s="9">
        <f>IF(OR(B46="",C46=""),"",F46/480*$H$1)</f>
        <v/>
      </c>
      <c r="F46" s="10">
        <f>IF(OR(B46="",C46=""),"",ROUND(MOD(C46-B46,1)*1440,0))</f>
        <v/>
      </c>
    </row>
    <row r="47">
      <c r="A47" s="6" t="n"/>
      <c r="B47" s="7" t="n"/>
      <c r="C47" s="7" t="n"/>
      <c r="D47" s="8">
        <f>IF(OR(B47="",C47=""),"",INT(F47/60)&amp;"時間 "&amp;MOD(F47,60)&amp;"分")</f>
        <v/>
      </c>
      <c r="E47" s="9">
        <f>IF(OR(B47="",C47=""),"",F47/480*$H$1)</f>
        <v/>
      </c>
      <c r="F47" s="10">
        <f>IF(OR(B47="",C47=""),"",ROUND(MOD(C47-B47,1)*1440,0))</f>
        <v/>
      </c>
    </row>
    <row r="48">
      <c r="A48" s="6" t="n"/>
      <c r="B48" s="7" t="n"/>
      <c r="C48" s="7" t="n"/>
      <c r="D48" s="8">
        <f>IF(OR(B48="",C48=""),"",INT(F48/60)&amp;"時間 "&amp;MOD(F48,60)&amp;"分")</f>
        <v/>
      </c>
      <c r="E48" s="9">
        <f>IF(OR(B48="",C48=""),"",F48/480*$H$1)</f>
        <v/>
      </c>
      <c r="F48" s="10">
        <f>IF(OR(B48="",C48=""),"",ROUND(MOD(C48-B48,1)*1440,0))</f>
        <v/>
      </c>
    </row>
    <row r="49">
      <c r="A49" s="6" t="n"/>
      <c r="B49" s="7" t="n"/>
      <c r="C49" s="7" t="n"/>
      <c r="D49" s="8">
        <f>IF(OR(B49="",C49=""),"",INT(F49/60)&amp;"時間 "&amp;MOD(F49,60)&amp;"分")</f>
        <v/>
      </c>
      <c r="E49" s="9">
        <f>IF(OR(B49="",C49=""),"",F49/480*$H$1)</f>
        <v/>
      </c>
      <c r="F49" s="10">
        <f>IF(OR(B49="",C49=""),"",ROUND(MOD(C49-B49,1)*1440,0))</f>
        <v/>
      </c>
    </row>
    <row r="50">
      <c r="A50" s="6" t="n"/>
      <c r="B50" s="7" t="n"/>
      <c r="C50" s="7" t="n"/>
      <c r="D50" s="8">
        <f>IF(OR(B50="",C50=""),"",INT(F50/60)&amp;"時間 "&amp;MOD(F50,60)&amp;"分")</f>
        <v/>
      </c>
      <c r="E50" s="9">
        <f>IF(OR(B50="",C50=""),"",F50/480*$H$1)</f>
        <v/>
      </c>
      <c r="F50" s="10">
        <f>IF(OR(B50="",C50=""),"",ROUND(MOD(C50-B50,1)*1440,0))</f>
        <v/>
      </c>
    </row>
    <row r="51">
      <c r="A51" s="6" t="n"/>
      <c r="B51" s="7" t="n"/>
      <c r="C51" s="7" t="n"/>
      <c r="D51" s="8">
        <f>IF(OR(B51="",C51=""),"",INT(F51/60)&amp;"時間 "&amp;MOD(F51,60)&amp;"分")</f>
        <v/>
      </c>
      <c r="E51" s="9">
        <f>IF(OR(B51="",C51=""),"",F51/480*$H$1)</f>
        <v/>
      </c>
      <c r="F51" s="10">
        <f>IF(OR(B51="",C51=""),"",ROUND(MOD(C51-B51,1)*1440,0))</f>
        <v/>
      </c>
    </row>
    <row r="52">
      <c r="A52" s="6" t="n"/>
      <c r="B52" s="7" t="n"/>
      <c r="C52" s="7" t="n"/>
      <c r="D52" s="8">
        <f>IF(OR(B52="",C52=""),"",INT(F52/60)&amp;"時間 "&amp;MOD(F52,60)&amp;"分")</f>
        <v/>
      </c>
      <c r="E52" s="9">
        <f>IF(OR(B52="",C52=""),"",F52/480*$H$1)</f>
        <v/>
      </c>
      <c r="F52" s="10">
        <f>IF(OR(B52="",C52=""),"",ROUND(MOD(C52-B52,1)*1440,0))</f>
        <v/>
      </c>
    </row>
    <row r="53">
      <c r="A53" s="6" t="n"/>
      <c r="B53" s="7" t="n"/>
      <c r="C53" s="7" t="n"/>
      <c r="D53" s="8">
        <f>IF(OR(B53="",C53=""),"",INT(F53/60)&amp;"時間 "&amp;MOD(F53,60)&amp;"分")</f>
        <v/>
      </c>
      <c r="E53" s="9">
        <f>IF(OR(B53="",C53=""),"",F53/480*$H$1)</f>
        <v/>
      </c>
      <c r="F53" s="10">
        <f>IF(OR(B53="",C53=""),"",ROUND(MOD(C53-B53,1)*1440,0))</f>
        <v/>
      </c>
    </row>
    <row r="54">
      <c r="A54" s="6" t="n"/>
      <c r="B54" s="7" t="n"/>
      <c r="C54" s="7" t="n"/>
      <c r="D54" s="8">
        <f>IF(OR(B54="",C54=""),"",INT(F54/60)&amp;"時間 "&amp;MOD(F54,60)&amp;"分")</f>
        <v/>
      </c>
      <c r="E54" s="9">
        <f>IF(OR(B54="",C54=""),"",F54/480*$H$1)</f>
        <v/>
      </c>
      <c r="F54" s="10">
        <f>IF(OR(B54="",C54=""),"",ROUND(MOD(C54-B54,1)*1440,0))</f>
        <v/>
      </c>
    </row>
    <row r="55">
      <c r="A55" s="6" t="n"/>
      <c r="B55" s="7" t="n"/>
      <c r="C55" s="7" t="n"/>
      <c r="D55" s="8">
        <f>IF(OR(B55="",C55=""),"",INT(F55/60)&amp;"時間 "&amp;MOD(F55,60)&amp;"分")</f>
        <v/>
      </c>
      <c r="E55" s="9">
        <f>IF(OR(B55="",C55=""),"",F55/480*$H$1)</f>
        <v/>
      </c>
      <c r="F55" s="10">
        <f>IF(OR(B55="",C55=""),"",ROUND(MOD(C55-B55,1)*1440,0))</f>
        <v/>
      </c>
    </row>
    <row r="56">
      <c r="A56" s="6" t="n"/>
      <c r="B56" s="7" t="n"/>
      <c r="C56" s="7" t="n"/>
      <c r="D56" s="8">
        <f>IF(OR(B56="",C56=""),"",INT(F56/60)&amp;"時間 "&amp;MOD(F56,60)&amp;"分")</f>
        <v/>
      </c>
      <c r="E56" s="9">
        <f>IF(OR(B56="",C56=""),"",F56/480*$H$1)</f>
        <v/>
      </c>
      <c r="F56" s="10">
        <f>IF(OR(B56="",C56=""),"",ROUND(MOD(C56-B56,1)*1440,0))</f>
        <v/>
      </c>
    </row>
    <row r="57">
      <c r="A57" s="6" t="n"/>
      <c r="B57" s="7" t="n"/>
      <c r="C57" s="7" t="n"/>
      <c r="D57" s="8">
        <f>IF(OR(B57="",C57=""),"",INT(F57/60)&amp;"時間 "&amp;MOD(F57,60)&amp;"分")</f>
        <v/>
      </c>
      <c r="E57" s="9">
        <f>IF(OR(B57="",C57=""),"",F57/480*$H$1)</f>
        <v/>
      </c>
      <c r="F57" s="10">
        <f>IF(OR(B57="",C57=""),"",ROUND(MOD(C57-B57,1)*1440,0))</f>
        <v/>
      </c>
    </row>
    <row r="58">
      <c r="A58" s="6" t="n"/>
      <c r="B58" s="7" t="n"/>
      <c r="C58" s="7" t="n"/>
      <c r="D58" s="8">
        <f>IF(OR(B58="",C58=""),"",INT(F58/60)&amp;"時間 "&amp;MOD(F58,60)&amp;"分")</f>
        <v/>
      </c>
      <c r="E58" s="9">
        <f>IF(OR(B58="",C58=""),"",F58/480*$H$1)</f>
        <v/>
      </c>
      <c r="F58" s="10">
        <f>IF(OR(B58="",C58=""),"",ROUND(MOD(C58-B58,1)*1440,0))</f>
        <v/>
      </c>
    </row>
    <row r="59">
      <c r="A59" s="6" t="n"/>
      <c r="B59" s="7" t="n"/>
      <c r="C59" s="7" t="n"/>
      <c r="D59" s="8">
        <f>IF(OR(B59="",C59=""),"",INT(F59/60)&amp;"時間 "&amp;MOD(F59,60)&amp;"分")</f>
        <v/>
      </c>
      <c r="E59" s="9">
        <f>IF(OR(B59="",C59=""),"",F59/480*$H$1)</f>
        <v/>
      </c>
      <c r="F59" s="10">
        <f>IF(OR(B59="",C59=""),"",ROUND(MOD(C59-B59,1)*1440,0))</f>
        <v/>
      </c>
    </row>
    <row r="60">
      <c r="A60" s="6" t="n"/>
      <c r="B60" s="7" t="n"/>
      <c r="C60" s="7" t="n"/>
      <c r="D60" s="8">
        <f>IF(OR(B60="",C60=""),"",INT(F60/60)&amp;"時間 "&amp;MOD(F60,60)&amp;"分")</f>
        <v/>
      </c>
      <c r="E60" s="9">
        <f>IF(OR(B60="",C60=""),"",F60/480*$H$1)</f>
        <v/>
      </c>
      <c r="F60" s="10">
        <f>IF(OR(B60="",C60=""),"",ROUND(MOD(C60-B60,1)*1440,0))</f>
        <v/>
      </c>
    </row>
    <row r="61">
      <c r="A61" s="6" t="n"/>
      <c r="B61" s="7" t="n"/>
      <c r="C61" s="7" t="n"/>
      <c r="D61" s="8">
        <f>IF(OR(B61="",C61=""),"",INT(F61/60)&amp;"時間 "&amp;MOD(F61,60)&amp;"分")</f>
        <v/>
      </c>
      <c r="E61" s="9">
        <f>IF(OR(B61="",C61=""),"",F61/480*$H$1)</f>
        <v/>
      </c>
      <c r="F61" s="10">
        <f>IF(OR(B61="",C61=""),"",ROUND(MOD(C61-B61,1)*1440,0))</f>
        <v/>
      </c>
    </row>
    <row r="62">
      <c r="A62" s="6" t="n"/>
      <c r="B62" s="7" t="n"/>
      <c r="C62" s="7" t="n"/>
      <c r="D62" s="8">
        <f>IF(OR(B62="",C62=""),"",INT(F62/60)&amp;"時間 "&amp;MOD(F62,60)&amp;"分")</f>
        <v/>
      </c>
      <c r="E62" s="9">
        <f>IF(OR(B62="",C62=""),"",F62/480*$H$1)</f>
        <v/>
      </c>
      <c r="F62" s="10">
        <f>IF(OR(B62="",C62=""),"",ROUND(MOD(C62-B62,1)*1440,0))</f>
        <v/>
      </c>
    </row>
    <row r="63">
      <c r="A63" s="6" t="n"/>
      <c r="B63" s="7" t="n"/>
      <c r="C63" s="7" t="n"/>
      <c r="D63" s="8">
        <f>IF(OR(B63="",C63=""),"",INT(F63/60)&amp;"時間 "&amp;MOD(F63,60)&amp;"分")</f>
        <v/>
      </c>
      <c r="E63" s="9">
        <f>IF(OR(B63="",C63=""),"",F63/480*$H$1)</f>
        <v/>
      </c>
      <c r="F63" s="10">
        <f>IF(OR(B63="",C63=""),"",ROUND(MOD(C63-B63,1)*1440,0))</f>
        <v/>
      </c>
    </row>
    <row r="64">
      <c r="A64" s="6" t="n"/>
      <c r="B64" s="7" t="n"/>
      <c r="C64" s="7" t="n"/>
      <c r="D64" s="8">
        <f>IF(OR(B64="",C64=""),"",INT(F64/60)&amp;"時間 "&amp;MOD(F64,60)&amp;"分")</f>
        <v/>
      </c>
      <c r="E64" s="9">
        <f>IF(OR(B64="",C64=""),"",F64/480*$H$1)</f>
        <v/>
      </c>
      <c r="F64" s="10">
        <f>IF(OR(B64="",C64=""),"",ROUND(MOD(C64-B64,1)*1440,0))</f>
        <v/>
      </c>
    </row>
    <row r="65">
      <c r="A65" s="6" t="n"/>
      <c r="B65" s="7" t="n"/>
      <c r="C65" s="7" t="n"/>
      <c r="D65" s="8">
        <f>IF(OR(B65="",C65=""),"",INT(F65/60)&amp;"時間 "&amp;MOD(F65,60)&amp;"分")</f>
        <v/>
      </c>
      <c r="E65" s="9">
        <f>IF(OR(B65="",C65=""),"",F65/480*$H$1)</f>
        <v/>
      </c>
      <c r="F65" s="10">
        <f>IF(OR(B65="",C65=""),"",ROUND(MOD(C65-B65,1)*1440,0))</f>
        <v/>
      </c>
    </row>
    <row r="66">
      <c r="A66" s="6" t="n"/>
      <c r="B66" s="7" t="n"/>
      <c r="C66" s="7" t="n"/>
      <c r="D66" s="8">
        <f>IF(OR(B66="",C66=""),"",INT(F66/60)&amp;"時間 "&amp;MOD(F66,60)&amp;"分")</f>
        <v/>
      </c>
      <c r="E66" s="9">
        <f>IF(OR(B66="",C66=""),"",F66/480*$H$1)</f>
        <v/>
      </c>
      <c r="F66" s="10">
        <f>IF(OR(B66="",C66=""),"",ROUND(MOD(C66-B66,1)*1440,0))</f>
        <v/>
      </c>
    </row>
    <row r="67">
      <c r="A67" s="6" t="n"/>
      <c r="B67" s="7" t="n"/>
      <c r="C67" s="7" t="n"/>
      <c r="D67" s="8">
        <f>IF(OR(B67="",C67=""),"",INT(F67/60)&amp;"時間 "&amp;MOD(F67,60)&amp;"分")</f>
        <v/>
      </c>
      <c r="E67" s="9">
        <f>IF(OR(B67="",C67=""),"",F67/480*$H$1)</f>
        <v/>
      </c>
      <c r="F67" s="10">
        <f>IF(OR(B67="",C67=""),"",ROUND(MOD(C67-B67,1)*1440,0))</f>
        <v/>
      </c>
    </row>
    <row r="68">
      <c r="A68" s="6" t="n"/>
      <c r="B68" s="7" t="n"/>
      <c r="C68" s="7" t="n"/>
      <c r="D68" s="8">
        <f>IF(OR(B68="",C68=""),"",INT(F68/60)&amp;"時間 "&amp;MOD(F68,60)&amp;"分")</f>
        <v/>
      </c>
      <c r="E68" s="9">
        <f>IF(OR(B68="",C68=""),"",F68/480*$H$1)</f>
        <v/>
      </c>
      <c r="F68" s="10">
        <f>IF(OR(B68="",C68=""),"",ROUND(MOD(C68-B68,1)*1440,0))</f>
        <v/>
      </c>
    </row>
    <row r="69">
      <c r="A69" s="6" t="n"/>
      <c r="B69" s="7" t="n"/>
      <c r="C69" s="7" t="n"/>
      <c r="D69" s="8">
        <f>IF(OR(B69="",C69=""),"",INT(F69/60)&amp;"時間 "&amp;MOD(F69,60)&amp;"分")</f>
        <v/>
      </c>
      <c r="E69" s="9">
        <f>IF(OR(B69="",C69=""),"",F69/480*$H$1)</f>
        <v/>
      </c>
      <c r="F69" s="10">
        <f>IF(OR(B69="",C69=""),"",ROUND(MOD(C69-B69,1)*1440,0))</f>
        <v/>
      </c>
    </row>
    <row r="70">
      <c r="A70" s="6" t="n"/>
      <c r="B70" s="7" t="n"/>
      <c r="C70" s="7" t="n"/>
      <c r="D70" s="8">
        <f>IF(OR(B70="",C70=""),"",INT(F70/60)&amp;"時間 "&amp;MOD(F70,60)&amp;"分")</f>
        <v/>
      </c>
      <c r="E70" s="9">
        <f>IF(OR(B70="",C70=""),"",F70/480*$H$1)</f>
        <v/>
      </c>
      <c r="F70" s="10">
        <f>IF(OR(B70="",C70=""),"",ROUND(MOD(C70-B70,1)*1440,0))</f>
        <v/>
      </c>
    </row>
    <row r="71">
      <c r="A71" s="6" t="n"/>
      <c r="B71" s="7" t="n"/>
      <c r="C71" s="7" t="n"/>
      <c r="D71" s="8">
        <f>IF(OR(B71="",C71=""),"",INT(F71/60)&amp;"時間 "&amp;MOD(F71,60)&amp;"分")</f>
        <v/>
      </c>
      <c r="E71" s="9">
        <f>IF(OR(B71="",C71=""),"",F71/480*$H$1)</f>
        <v/>
      </c>
      <c r="F71" s="10">
        <f>IF(OR(B71="",C71=""),"",ROUND(MOD(C71-B71,1)*1440,0))</f>
        <v/>
      </c>
    </row>
    <row r="72">
      <c r="A72" s="6" t="n"/>
      <c r="B72" s="7" t="n"/>
      <c r="C72" s="7" t="n"/>
      <c r="D72" s="8">
        <f>IF(OR(B72="",C72=""),"",INT(F72/60)&amp;"時間 "&amp;MOD(F72,60)&amp;"分")</f>
        <v/>
      </c>
      <c r="E72" s="9">
        <f>IF(OR(B72="",C72=""),"",F72/480*$H$1)</f>
        <v/>
      </c>
      <c r="F72" s="10">
        <f>IF(OR(B72="",C72=""),"",ROUND(MOD(C72-B72,1)*1440,0))</f>
        <v/>
      </c>
    </row>
    <row r="73">
      <c r="A73" s="6" t="n"/>
      <c r="B73" s="7" t="n"/>
      <c r="C73" s="7" t="n"/>
      <c r="D73" s="8">
        <f>IF(OR(B73="",C73=""),"",INT(F73/60)&amp;"時間 "&amp;MOD(F73,60)&amp;"分")</f>
        <v/>
      </c>
      <c r="E73" s="9">
        <f>IF(OR(B73="",C73=""),"",F73/480*$H$1)</f>
        <v/>
      </c>
      <c r="F73" s="10">
        <f>IF(OR(B73="",C73=""),"",ROUND(MOD(C73-B73,1)*1440,0))</f>
        <v/>
      </c>
    </row>
    <row r="74">
      <c r="A74" s="6" t="n"/>
      <c r="B74" s="7" t="n"/>
      <c r="C74" s="7" t="n"/>
      <c r="D74" s="8">
        <f>IF(OR(B74="",C74=""),"",INT(F74/60)&amp;"時間 "&amp;MOD(F74,60)&amp;"分")</f>
        <v/>
      </c>
      <c r="E74" s="9">
        <f>IF(OR(B74="",C74=""),"",F74/480*$H$1)</f>
        <v/>
      </c>
      <c r="F74" s="10">
        <f>IF(OR(B74="",C74=""),"",ROUND(MOD(C74-B74,1)*1440,0))</f>
        <v/>
      </c>
    </row>
    <row r="75">
      <c r="A75" s="6" t="n"/>
      <c r="B75" s="7" t="n"/>
      <c r="C75" s="7" t="n"/>
      <c r="D75" s="8">
        <f>IF(OR(B75="",C75=""),"",INT(F75/60)&amp;"時間 "&amp;MOD(F75,60)&amp;"分")</f>
        <v/>
      </c>
      <c r="E75" s="9">
        <f>IF(OR(B75="",C75=""),"",F75/480*$H$1)</f>
        <v/>
      </c>
      <c r="F75" s="10">
        <f>IF(OR(B75="",C75=""),"",ROUND(MOD(C75-B75,1)*1440,0))</f>
        <v/>
      </c>
    </row>
    <row r="76">
      <c r="A76" s="6" t="n"/>
      <c r="B76" s="7" t="n"/>
      <c r="C76" s="7" t="n"/>
      <c r="D76" s="8">
        <f>IF(OR(B76="",C76=""),"",INT(F76/60)&amp;"時間 "&amp;MOD(F76,60)&amp;"分")</f>
        <v/>
      </c>
      <c r="E76" s="9">
        <f>IF(OR(B76="",C76=""),"",F76/480*$H$1)</f>
        <v/>
      </c>
      <c r="F76" s="10">
        <f>IF(OR(B76="",C76=""),"",ROUND(MOD(C76-B76,1)*1440,0))</f>
        <v/>
      </c>
    </row>
    <row r="77">
      <c r="A77" s="6" t="n"/>
      <c r="B77" s="7" t="n"/>
      <c r="C77" s="7" t="n"/>
      <c r="D77" s="8">
        <f>IF(OR(B77="",C77=""),"",INT(F77/60)&amp;"時間 "&amp;MOD(F77,60)&amp;"分")</f>
        <v/>
      </c>
      <c r="E77" s="9">
        <f>IF(OR(B77="",C77=""),"",F77/480*$H$1)</f>
        <v/>
      </c>
      <c r="F77" s="10">
        <f>IF(OR(B77="",C77=""),"",ROUND(MOD(C77-B77,1)*1440,0))</f>
        <v/>
      </c>
    </row>
    <row r="78">
      <c r="A78" s="6" t="n"/>
      <c r="B78" s="7" t="n"/>
      <c r="C78" s="7" t="n"/>
      <c r="D78" s="8">
        <f>IF(OR(B78="",C78=""),"",INT(F78/60)&amp;"時間 "&amp;MOD(F78,60)&amp;"分")</f>
        <v/>
      </c>
      <c r="E78" s="9">
        <f>IF(OR(B78="",C78=""),"",F78/480*$H$1)</f>
        <v/>
      </c>
      <c r="F78" s="10">
        <f>IF(OR(B78="",C78=""),"",ROUND(MOD(C78-B78,1)*1440,0))</f>
        <v/>
      </c>
    </row>
    <row r="79">
      <c r="A79" s="6" t="n"/>
      <c r="B79" s="7" t="n"/>
      <c r="C79" s="7" t="n"/>
      <c r="D79" s="8">
        <f>IF(OR(B79="",C79=""),"",INT(F79/60)&amp;"時間 "&amp;MOD(F79,60)&amp;"分")</f>
        <v/>
      </c>
      <c r="E79" s="9">
        <f>IF(OR(B79="",C79=""),"",F79/480*$H$1)</f>
        <v/>
      </c>
      <c r="F79" s="10">
        <f>IF(OR(B79="",C79=""),"",ROUND(MOD(C79-B79,1)*1440,0))</f>
        <v/>
      </c>
    </row>
    <row r="80">
      <c r="A80" s="6" t="n"/>
      <c r="B80" s="7" t="n"/>
      <c r="C80" s="7" t="n"/>
      <c r="D80" s="8">
        <f>IF(OR(B80="",C80=""),"",INT(F80/60)&amp;"時間 "&amp;MOD(F80,60)&amp;"分")</f>
        <v/>
      </c>
      <c r="E80" s="9">
        <f>IF(OR(B80="",C80=""),"",F80/480*$H$1)</f>
        <v/>
      </c>
      <c r="F80" s="10">
        <f>IF(OR(B80="",C80=""),"",ROUND(MOD(C80-B80,1)*1440,0))</f>
        <v/>
      </c>
    </row>
    <row r="81">
      <c r="A81" s="6" t="n"/>
      <c r="B81" s="7" t="n"/>
      <c r="C81" s="7" t="n"/>
      <c r="D81" s="8">
        <f>IF(OR(B81="",C81=""),"",INT(F81/60)&amp;"時間 "&amp;MOD(F81,60)&amp;"分")</f>
        <v/>
      </c>
      <c r="E81" s="9">
        <f>IF(OR(B81="",C81=""),"",F81/480*$H$1)</f>
        <v/>
      </c>
      <c r="F81" s="10">
        <f>IF(OR(B81="",C81=""),"",ROUND(MOD(C81-B81,1)*1440,0))</f>
        <v/>
      </c>
    </row>
    <row r="82">
      <c r="A82" s="6" t="n"/>
      <c r="B82" s="7" t="n"/>
      <c r="C82" s="7" t="n"/>
      <c r="D82" s="8">
        <f>IF(OR(B82="",C82=""),"",INT(F82/60)&amp;"時間 "&amp;MOD(F82,60)&amp;"分")</f>
        <v/>
      </c>
      <c r="E82" s="9">
        <f>IF(OR(B82="",C82=""),"",F82/480*$H$1)</f>
        <v/>
      </c>
      <c r="F82" s="10">
        <f>IF(OR(B82="",C82=""),"",ROUND(MOD(C82-B82,1)*1440,0))</f>
        <v/>
      </c>
    </row>
    <row r="83">
      <c r="A83" s="6" t="n"/>
      <c r="B83" s="7" t="n"/>
      <c r="C83" s="7" t="n"/>
      <c r="D83" s="8">
        <f>IF(OR(B83="",C83=""),"",INT(F83/60)&amp;"時間 "&amp;MOD(F83,60)&amp;"分")</f>
        <v/>
      </c>
      <c r="E83" s="9">
        <f>IF(OR(B83="",C83=""),"",F83/480*$H$1)</f>
        <v/>
      </c>
      <c r="F83" s="10">
        <f>IF(OR(B83="",C83=""),"",ROUND(MOD(C83-B83,1)*1440,0))</f>
        <v/>
      </c>
    </row>
    <row r="84">
      <c r="A84" s="6" t="n"/>
      <c r="B84" s="7" t="n"/>
      <c r="C84" s="7" t="n"/>
      <c r="D84" s="8">
        <f>IF(OR(B84="",C84=""),"",INT(F84/60)&amp;"時間 "&amp;MOD(F84,60)&amp;"分")</f>
        <v/>
      </c>
      <c r="E84" s="9">
        <f>IF(OR(B84="",C84=""),"",F84/480*$H$1)</f>
        <v/>
      </c>
      <c r="F84" s="10">
        <f>IF(OR(B84="",C84=""),"",ROUND(MOD(C84-B84,1)*1440,0))</f>
        <v/>
      </c>
    </row>
    <row r="85">
      <c r="A85" s="6" t="n"/>
      <c r="B85" s="7" t="n"/>
      <c r="C85" s="7" t="n"/>
      <c r="D85" s="8">
        <f>IF(OR(B85="",C85=""),"",INT(F85/60)&amp;"時間 "&amp;MOD(F85,60)&amp;"分")</f>
        <v/>
      </c>
      <c r="E85" s="9">
        <f>IF(OR(B85="",C85=""),"",F85/480*$H$1)</f>
        <v/>
      </c>
      <c r="F85" s="10">
        <f>IF(OR(B85="",C85=""),"",ROUND(MOD(C85-B85,1)*1440,0))</f>
        <v/>
      </c>
    </row>
    <row r="86">
      <c r="A86" s="6" t="n"/>
      <c r="B86" s="7" t="n"/>
      <c r="C86" s="7" t="n"/>
      <c r="D86" s="8">
        <f>IF(OR(B86="",C86=""),"",INT(F86/60)&amp;"時間 "&amp;MOD(F86,60)&amp;"分")</f>
        <v/>
      </c>
      <c r="E86" s="9">
        <f>IF(OR(B86="",C86=""),"",F86/480*$H$1)</f>
        <v/>
      </c>
      <c r="F86" s="10">
        <f>IF(OR(B86="",C86=""),"",ROUND(MOD(C86-B86,1)*1440,0))</f>
        <v/>
      </c>
    </row>
    <row r="87">
      <c r="A87" s="6" t="n"/>
      <c r="B87" s="7" t="n"/>
      <c r="C87" s="7" t="n"/>
      <c r="D87" s="8">
        <f>IF(OR(B87="",C87=""),"",INT(F87/60)&amp;"時間 "&amp;MOD(F87,60)&amp;"分")</f>
        <v/>
      </c>
      <c r="E87" s="9">
        <f>IF(OR(B87="",C87=""),"",F87/480*$H$1)</f>
        <v/>
      </c>
      <c r="F87" s="10">
        <f>IF(OR(B87="",C87=""),"",ROUND(MOD(C87-B87,1)*1440,0))</f>
        <v/>
      </c>
    </row>
    <row r="88">
      <c r="A88" s="6" t="n"/>
      <c r="B88" s="7" t="n"/>
      <c r="C88" s="7" t="n"/>
      <c r="D88" s="8">
        <f>IF(OR(B88="",C88=""),"",INT(F88/60)&amp;"時間 "&amp;MOD(F88,60)&amp;"分")</f>
        <v/>
      </c>
      <c r="E88" s="9">
        <f>IF(OR(B88="",C88=""),"",F88/480*$H$1)</f>
        <v/>
      </c>
      <c r="F88" s="10">
        <f>IF(OR(B88="",C88=""),"",ROUND(MOD(C88-B88,1)*1440,0))</f>
        <v/>
      </c>
    </row>
    <row r="89">
      <c r="A89" s="6" t="n"/>
      <c r="B89" s="7" t="n"/>
      <c r="C89" s="7" t="n"/>
      <c r="D89" s="8">
        <f>IF(OR(B89="",C89=""),"",INT(F89/60)&amp;"時間 "&amp;MOD(F89,60)&amp;"分")</f>
        <v/>
      </c>
      <c r="E89" s="9">
        <f>IF(OR(B89="",C89=""),"",F89/480*$H$1)</f>
        <v/>
      </c>
      <c r="F89" s="10">
        <f>IF(OR(B89="",C89=""),"",ROUND(MOD(C89-B89,1)*1440,0))</f>
        <v/>
      </c>
    </row>
    <row r="90">
      <c r="A90" s="6" t="n"/>
      <c r="B90" s="7" t="n"/>
      <c r="C90" s="7" t="n"/>
      <c r="D90" s="8">
        <f>IF(OR(B90="",C90=""),"",INT(F90/60)&amp;"時間 "&amp;MOD(F90,60)&amp;"分")</f>
        <v/>
      </c>
      <c r="E90" s="9">
        <f>IF(OR(B90="",C90=""),"",F90/480*$H$1)</f>
        <v/>
      </c>
      <c r="F90" s="10">
        <f>IF(OR(B90="",C90=""),"",ROUND(MOD(C90-B90,1)*1440,0))</f>
        <v/>
      </c>
    </row>
    <row r="91">
      <c r="A91" s="6" t="n"/>
      <c r="B91" s="7" t="n"/>
      <c r="C91" s="7" t="n"/>
      <c r="D91" s="8">
        <f>IF(OR(B91="",C91=""),"",INT(F91/60)&amp;"時間 "&amp;MOD(F91,60)&amp;"分")</f>
        <v/>
      </c>
      <c r="E91" s="9">
        <f>IF(OR(B91="",C91=""),"",F91/480*$H$1)</f>
        <v/>
      </c>
      <c r="F91" s="10">
        <f>IF(OR(B91="",C91=""),"",ROUND(MOD(C91-B91,1)*1440,0))</f>
        <v/>
      </c>
    </row>
    <row r="92">
      <c r="A92" s="6" t="n"/>
      <c r="B92" s="7" t="n"/>
      <c r="C92" s="7" t="n"/>
      <c r="D92" s="8">
        <f>IF(OR(B92="",C92=""),"",INT(F92/60)&amp;"時間 "&amp;MOD(F92,60)&amp;"分")</f>
        <v/>
      </c>
      <c r="E92" s="9">
        <f>IF(OR(B92="",C92=""),"",F92/480*$H$1)</f>
        <v/>
      </c>
      <c r="F92" s="10">
        <f>IF(OR(B92="",C92=""),"",ROUND(MOD(C92-B92,1)*1440,0))</f>
        <v/>
      </c>
    </row>
    <row r="93">
      <c r="A93" s="6" t="n"/>
      <c r="B93" s="7" t="n"/>
      <c r="C93" s="7" t="n"/>
      <c r="D93" s="8">
        <f>IF(OR(B93="",C93=""),"",INT(F93/60)&amp;"時間 "&amp;MOD(F93,60)&amp;"分")</f>
        <v/>
      </c>
      <c r="E93" s="9">
        <f>IF(OR(B93="",C93=""),"",F93/480*$H$1)</f>
        <v/>
      </c>
      <c r="F93" s="10">
        <f>IF(OR(B93="",C93=""),"",ROUND(MOD(C93-B93,1)*1440,0))</f>
        <v/>
      </c>
    </row>
    <row r="94">
      <c r="A94" s="6" t="n"/>
      <c r="B94" s="7" t="n"/>
      <c r="C94" s="7" t="n"/>
      <c r="D94" s="8">
        <f>IF(OR(B94="",C94=""),"",INT(F94/60)&amp;"時間 "&amp;MOD(F94,60)&amp;"分")</f>
        <v/>
      </c>
      <c r="E94" s="9">
        <f>IF(OR(B94="",C94=""),"",F94/480*$H$1)</f>
        <v/>
      </c>
      <c r="F94" s="10">
        <f>IF(OR(B94="",C94=""),"",ROUND(MOD(C94-B94,1)*1440,0))</f>
        <v/>
      </c>
    </row>
    <row r="95">
      <c r="A95" s="6" t="n"/>
      <c r="B95" s="7" t="n"/>
      <c r="C95" s="7" t="n"/>
      <c r="D95" s="8">
        <f>IF(OR(B95="",C95=""),"",INT(F95/60)&amp;"時間 "&amp;MOD(F95,60)&amp;"分")</f>
        <v/>
      </c>
      <c r="E95" s="9">
        <f>IF(OR(B95="",C95=""),"",F95/480*$H$1)</f>
        <v/>
      </c>
      <c r="F95" s="10">
        <f>IF(OR(B95="",C95=""),"",ROUND(MOD(C95-B95,1)*1440,0))</f>
        <v/>
      </c>
    </row>
    <row r="96">
      <c r="A96" s="6" t="n"/>
      <c r="B96" s="7" t="n"/>
      <c r="C96" s="7" t="n"/>
      <c r="D96" s="8">
        <f>IF(OR(B96="",C96=""),"",INT(F96/60)&amp;"時間 "&amp;MOD(F96,60)&amp;"分")</f>
        <v/>
      </c>
      <c r="E96" s="9">
        <f>IF(OR(B96="",C96=""),"",F96/480*$H$1)</f>
        <v/>
      </c>
      <c r="F96" s="10">
        <f>IF(OR(B96="",C96=""),"",ROUND(MOD(C96-B96,1)*1440,0))</f>
        <v/>
      </c>
    </row>
    <row r="97">
      <c r="A97" s="6" t="n"/>
      <c r="B97" s="7" t="n"/>
      <c r="C97" s="7" t="n"/>
      <c r="D97" s="8">
        <f>IF(OR(B97="",C97=""),"",INT(F97/60)&amp;"時間 "&amp;MOD(F97,60)&amp;"分")</f>
        <v/>
      </c>
      <c r="E97" s="9">
        <f>IF(OR(B97="",C97=""),"",F97/480*$H$1)</f>
        <v/>
      </c>
      <c r="F97" s="10">
        <f>IF(OR(B97="",C97=""),"",ROUND(MOD(C97-B97,1)*1440,0))</f>
        <v/>
      </c>
    </row>
    <row r="98">
      <c r="A98" s="6" t="n"/>
      <c r="B98" s="7" t="n"/>
      <c r="C98" s="7" t="n"/>
      <c r="D98" s="8">
        <f>IF(OR(B98="",C98=""),"",INT(F98/60)&amp;"時間 "&amp;MOD(F98,60)&amp;"分")</f>
        <v/>
      </c>
      <c r="E98" s="9">
        <f>IF(OR(B98="",C98=""),"",F98/480*$H$1)</f>
        <v/>
      </c>
      <c r="F98" s="10">
        <f>IF(OR(B98="",C98=""),"",ROUND(MOD(C98-B98,1)*1440,0))</f>
        <v/>
      </c>
    </row>
    <row r="99">
      <c r="A99" s="6" t="n"/>
      <c r="B99" s="7" t="n"/>
      <c r="C99" s="7" t="n"/>
      <c r="D99" s="8">
        <f>IF(OR(B99="",C99=""),"",INT(F99/60)&amp;"時間 "&amp;MOD(F99,60)&amp;"分")</f>
        <v/>
      </c>
      <c r="E99" s="9">
        <f>IF(OR(B99="",C99=""),"",F99/480*$H$1)</f>
        <v/>
      </c>
      <c r="F99" s="10">
        <f>IF(OR(B99="",C99=""),"",ROUND(MOD(C99-B99,1)*1440,0))</f>
        <v/>
      </c>
    </row>
    <row r="100">
      <c r="A100" s="6" t="n"/>
      <c r="B100" s="7" t="n"/>
      <c r="C100" s="7" t="n"/>
      <c r="D100" s="8">
        <f>IF(OR(B100="",C100=""),"",INT(F100/60)&amp;"時間 "&amp;MOD(F100,60)&amp;"分")</f>
        <v/>
      </c>
      <c r="E100" s="9">
        <f>IF(OR(B100="",C100=""),"",F100/480*$H$1)</f>
        <v/>
      </c>
      <c r="F100" s="10">
        <f>IF(OR(B100="",C100=""),"",ROUND(MOD(C100-B100,1)*1440,0))</f>
        <v/>
      </c>
    </row>
    <row r="101">
      <c r="A101" s="6" t="n"/>
      <c r="B101" s="7" t="n"/>
      <c r="C101" s="7" t="n"/>
      <c r="D101" s="8">
        <f>IF(OR(B101="",C101=""),"",INT(F101/60)&amp;"時間 "&amp;MOD(F101,60)&amp;"分")</f>
        <v/>
      </c>
      <c r="E101" s="9">
        <f>IF(OR(B101="",C101=""),"",F101/480*$H$1)</f>
        <v/>
      </c>
      <c r="F101" s="10">
        <f>IF(OR(B101="",C101=""),"",ROUND(MOD(C101-B101,1)*1440,0))</f>
        <v/>
      </c>
    </row>
    <row r="102">
      <c r="A102" s="6" t="n"/>
      <c r="B102" s="7" t="n"/>
      <c r="C102" s="7" t="n"/>
      <c r="D102" s="8">
        <f>IF(OR(B102="",C102=""),"",INT(F102/60)&amp;"時間 "&amp;MOD(F102,60)&amp;"分")</f>
        <v/>
      </c>
      <c r="E102" s="9">
        <f>IF(OR(B102="",C102=""),"",F102/480*$H$1)</f>
        <v/>
      </c>
      <c r="F102" s="10">
        <f>IF(OR(B102="",C102=""),"",ROUND(MOD(C102-B102,1)*1440,0))</f>
        <v/>
      </c>
    </row>
    <row r="103">
      <c r="A103" s="6" t="n"/>
      <c r="B103" s="7" t="n"/>
      <c r="C103" s="7" t="n"/>
      <c r="D103" s="8">
        <f>IF(OR(B103="",C103=""),"",INT(F103/60)&amp;"時間 "&amp;MOD(F103,60)&amp;"分")</f>
        <v/>
      </c>
      <c r="E103" s="9">
        <f>IF(OR(B103="",C103=""),"",F103/480*$H$1)</f>
        <v/>
      </c>
      <c r="F103" s="10">
        <f>IF(OR(B103="",C103=""),"",ROUND(MOD(C103-B103,1)*1440,0))</f>
        <v/>
      </c>
    </row>
    <row r="104">
      <c r="A104" s="6" t="n"/>
      <c r="B104" s="7" t="n"/>
      <c r="C104" s="7" t="n"/>
      <c r="D104" s="8">
        <f>IF(OR(B104="",C104=""),"",INT(F104/60)&amp;"時間 "&amp;MOD(F104,60)&amp;"分")</f>
        <v/>
      </c>
      <c r="E104" s="9">
        <f>IF(OR(B104="",C104=""),"",F104/480*$H$1)</f>
        <v/>
      </c>
      <c r="F104" s="10">
        <f>IF(OR(B104="",C104=""),"",ROUND(MOD(C104-B104,1)*1440,0))</f>
        <v/>
      </c>
    </row>
    <row r="105">
      <c r="A105" s="6" t="n"/>
      <c r="B105" s="7" t="n"/>
      <c r="C105" s="7" t="n"/>
      <c r="D105" s="8">
        <f>IF(OR(B105="",C105=""),"",INT(F105/60)&amp;"時間 "&amp;MOD(F105,60)&amp;"分")</f>
        <v/>
      </c>
      <c r="E105" s="9">
        <f>IF(OR(B105="",C105=""),"",F105/480*$H$1)</f>
        <v/>
      </c>
      <c r="F105" s="10">
        <f>IF(OR(B105="",C105=""),"",ROUND(MOD(C105-B105,1)*1440,0))</f>
        <v/>
      </c>
    </row>
    <row r="106">
      <c r="A106" s="6" t="n"/>
      <c r="B106" s="7" t="n"/>
      <c r="C106" s="7" t="n"/>
      <c r="D106" s="8">
        <f>IF(OR(B106="",C106=""),"",INT(F106/60)&amp;"時間 "&amp;MOD(F106,60)&amp;"分")</f>
        <v/>
      </c>
      <c r="E106" s="9">
        <f>IF(OR(B106="",C106=""),"",F106/480*$H$1)</f>
        <v/>
      </c>
      <c r="F106" s="10">
        <f>IF(OR(B106="",C106=""),"",ROUND(MOD(C106-B106,1)*1440,0))</f>
        <v/>
      </c>
    </row>
    <row r="107">
      <c r="A107" s="6" t="n"/>
      <c r="B107" s="7" t="n"/>
      <c r="C107" s="7" t="n"/>
      <c r="D107" s="8">
        <f>IF(OR(B107="",C107=""),"",INT(F107/60)&amp;"時間 "&amp;MOD(F107,60)&amp;"分")</f>
        <v/>
      </c>
      <c r="E107" s="9">
        <f>IF(OR(B107="",C107=""),"",F107/480*$H$1)</f>
        <v/>
      </c>
      <c r="F107" s="10">
        <f>IF(OR(B107="",C107=""),"",ROUND(MOD(C107-B107,1)*1440,0))</f>
        <v/>
      </c>
    </row>
    <row r="108">
      <c r="A108" s="6" t="n"/>
      <c r="B108" s="7" t="n"/>
      <c r="C108" s="7" t="n"/>
      <c r="D108" s="8">
        <f>IF(OR(B108="",C108=""),"",INT(F108/60)&amp;"時間 "&amp;MOD(F108,60)&amp;"分")</f>
        <v/>
      </c>
      <c r="E108" s="9">
        <f>IF(OR(B108="",C108=""),"",F108/480*$H$1)</f>
        <v/>
      </c>
      <c r="F108" s="10">
        <f>IF(OR(B108="",C108=""),"",ROUND(MOD(C108-B108,1)*1440,0))</f>
        <v/>
      </c>
    </row>
    <row r="109">
      <c r="A109" s="6" t="n"/>
      <c r="B109" s="7" t="n"/>
      <c r="C109" s="7" t="n"/>
      <c r="D109" s="8">
        <f>IF(OR(B109="",C109=""),"",INT(F109/60)&amp;"時間 "&amp;MOD(F109,60)&amp;"分")</f>
        <v/>
      </c>
      <c r="E109" s="9">
        <f>IF(OR(B109="",C109=""),"",F109/480*$H$1)</f>
        <v/>
      </c>
      <c r="F109" s="10">
        <f>IF(OR(B109="",C109=""),"",ROUND(MOD(C109-B109,1)*1440,0))</f>
        <v/>
      </c>
    </row>
    <row r="110">
      <c r="A110" s="6" t="n"/>
      <c r="B110" s="7" t="n"/>
      <c r="C110" s="7" t="n"/>
      <c r="D110" s="8">
        <f>IF(OR(B110="",C110=""),"",INT(F110/60)&amp;"時間 "&amp;MOD(F110,60)&amp;"分")</f>
        <v/>
      </c>
      <c r="E110" s="9">
        <f>IF(OR(B110="",C110=""),"",F110/480*$H$1)</f>
        <v/>
      </c>
      <c r="F110" s="10">
        <f>IF(OR(B110="",C110=""),"",ROUND(MOD(C110-B110,1)*1440,0))</f>
        <v/>
      </c>
    </row>
    <row r="111">
      <c r="A111" s="6" t="n"/>
      <c r="B111" s="7" t="n"/>
      <c r="C111" s="7" t="n"/>
      <c r="D111" s="8">
        <f>IF(OR(B111="",C111=""),"",INT(F111/60)&amp;"時間 "&amp;MOD(F111,60)&amp;"分")</f>
        <v/>
      </c>
      <c r="E111" s="9">
        <f>IF(OR(B111="",C111=""),"",F111/480*$H$1)</f>
        <v/>
      </c>
      <c r="F111" s="10">
        <f>IF(OR(B111="",C111=""),"",ROUND(MOD(C111-B111,1)*1440,0))</f>
        <v/>
      </c>
    </row>
    <row r="112">
      <c r="A112" s="6" t="n"/>
      <c r="B112" s="7" t="n"/>
      <c r="C112" s="7" t="n"/>
      <c r="D112" s="8">
        <f>IF(OR(B112="",C112=""),"",INT(F112/60)&amp;"時間 "&amp;MOD(F112,60)&amp;"分")</f>
        <v/>
      </c>
      <c r="E112" s="9">
        <f>IF(OR(B112="",C112=""),"",F112/480*$H$1)</f>
        <v/>
      </c>
      <c r="F112" s="10">
        <f>IF(OR(B112="",C112=""),"",ROUND(MOD(C112-B112,1)*1440,0))</f>
        <v/>
      </c>
    </row>
    <row r="113">
      <c r="A113" s="6" t="n"/>
      <c r="B113" s="7" t="n"/>
      <c r="C113" s="7" t="n"/>
      <c r="D113" s="8">
        <f>IF(OR(B113="",C113=""),"",INT(F113/60)&amp;"時間 "&amp;MOD(F113,60)&amp;"分")</f>
        <v/>
      </c>
      <c r="E113" s="9">
        <f>IF(OR(B113="",C113=""),"",F113/480*$H$1)</f>
        <v/>
      </c>
      <c r="F113" s="10">
        <f>IF(OR(B113="",C113=""),"",ROUND(MOD(C113-B113,1)*1440,0))</f>
        <v/>
      </c>
    </row>
    <row r="114">
      <c r="A114" s="6" t="n"/>
      <c r="B114" s="7" t="n"/>
      <c r="C114" s="7" t="n"/>
      <c r="D114" s="8">
        <f>IF(OR(B114="",C114=""),"",INT(F114/60)&amp;"時間 "&amp;MOD(F114,60)&amp;"分")</f>
        <v/>
      </c>
      <c r="E114" s="9">
        <f>IF(OR(B114="",C114=""),"",F114/480*$H$1)</f>
        <v/>
      </c>
      <c r="F114" s="10">
        <f>IF(OR(B114="",C114=""),"",ROUND(MOD(C114-B114,1)*1440,0))</f>
        <v/>
      </c>
    </row>
    <row r="115">
      <c r="A115" s="6" t="n"/>
      <c r="B115" s="7" t="n"/>
      <c r="C115" s="7" t="n"/>
      <c r="D115" s="8">
        <f>IF(OR(B115="",C115=""),"",INT(F115/60)&amp;"時間 "&amp;MOD(F115,60)&amp;"分")</f>
        <v/>
      </c>
      <c r="E115" s="9">
        <f>IF(OR(B115="",C115=""),"",F115/480*$H$1)</f>
        <v/>
      </c>
      <c r="F115" s="10">
        <f>IF(OR(B115="",C115=""),"",ROUND(MOD(C115-B115,1)*1440,0))</f>
        <v/>
      </c>
    </row>
    <row r="116">
      <c r="A116" s="6" t="n"/>
      <c r="B116" s="7" t="n"/>
      <c r="C116" s="7" t="n"/>
      <c r="D116" s="8">
        <f>IF(OR(B116="",C116=""),"",INT(F116/60)&amp;"時間 "&amp;MOD(F116,60)&amp;"分")</f>
        <v/>
      </c>
      <c r="E116" s="9">
        <f>IF(OR(B116="",C116=""),"",F116/480*$H$1)</f>
        <v/>
      </c>
      <c r="F116" s="10">
        <f>IF(OR(B116="",C116=""),"",ROUND(MOD(C116-B116,1)*1440,0))</f>
        <v/>
      </c>
    </row>
    <row r="117">
      <c r="A117" s="6" t="n"/>
      <c r="B117" s="7" t="n"/>
      <c r="C117" s="7" t="n"/>
      <c r="D117" s="8">
        <f>IF(OR(B117="",C117=""),"",INT(F117/60)&amp;"時間 "&amp;MOD(F117,60)&amp;"分")</f>
        <v/>
      </c>
      <c r="E117" s="9">
        <f>IF(OR(B117="",C117=""),"",F117/480*$H$1)</f>
        <v/>
      </c>
      <c r="F117" s="10">
        <f>IF(OR(B117="",C117=""),"",ROUND(MOD(C117-B117,1)*1440,0))</f>
        <v/>
      </c>
    </row>
    <row r="118">
      <c r="A118" s="6" t="n"/>
      <c r="B118" s="7" t="n"/>
      <c r="C118" s="7" t="n"/>
      <c r="D118" s="8">
        <f>IF(OR(B118="",C118=""),"",INT(F118/60)&amp;"時間 "&amp;MOD(F118,60)&amp;"分")</f>
        <v/>
      </c>
      <c r="E118" s="9">
        <f>IF(OR(B118="",C118=""),"",F118/480*$H$1)</f>
        <v/>
      </c>
      <c r="F118" s="10">
        <f>IF(OR(B118="",C118=""),"",ROUND(MOD(C118-B118,1)*1440,0))</f>
        <v/>
      </c>
    </row>
    <row r="119">
      <c r="A119" s="6" t="n"/>
      <c r="B119" s="7" t="n"/>
      <c r="C119" s="7" t="n"/>
      <c r="D119" s="8">
        <f>IF(OR(B119="",C119=""),"",INT(F119/60)&amp;"時間 "&amp;MOD(F119,60)&amp;"分")</f>
        <v/>
      </c>
      <c r="E119" s="9">
        <f>IF(OR(B119="",C119=""),"",F119/480*$H$1)</f>
        <v/>
      </c>
      <c r="F119" s="10">
        <f>IF(OR(B119="",C119=""),"",ROUND(MOD(C119-B119,1)*1440,0))</f>
        <v/>
      </c>
    </row>
    <row r="120">
      <c r="A120" s="6" t="n"/>
      <c r="B120" s="7" t="n"/>
      <c r="C120" s="7" t="n"/>
      <c r="D120" s="8">
        <f>IF(OR(B120="",C120=""),"",INT(F120/60)&amp;"時間 "&amp;MOD(F120,60)&amp;"分")</f>
        <v/>
      </c>
      <c r="E120" s="9">
        <f>IF(OR(B120="",C120=""),"",F120/480*$H$1)</f>
        <v/>
      </c>
      <c r="F120" s="10">
        <f>IF(OR(B120="",C120=""),"",ROUND(MOD(C120-B120,1)*1440,0))</f>
        <v/>
      </c>
    </row>
    <row r="121">
      <c r="A121" s="6" t="n"/>
      <c r="B121" s="7" t="n"/>
      <c r="C121" s="7" t="n"/>
      <c r="D121" s="8">
        <f>IF(OR(B121="",C121=""),"",INT(F121/60)&amp;"時間 "&amp;MOD(F121,60)&amp;"分")</f>
        <v/>
      </c>
      <c r="E121" s="9">
        <f>IF(OR(B121="",C121=""),"",F121/480*$H$1)</f>
        <v/>
      </c>
      <c r="F121" s="10">
        <f>IF(OR(B121="",C121=""),"",ROUND(MOD(C121-B121,1)*1440,0))</f>
        <v/>
      </c>
    </row>
    <row r="122">
      <c r="A122" s="6" t="n"/>
      <c r="B122" s="7" t="n"/>
      <c r="C122" s="7" t="n"/>
      <c r="D122" s="8">
        <f>IF(OR(B122="",C122=""),"",INT(F122/60)&amp;"時間 "&amp;MOD(F122,60)&amp;"分")</f>
        <v/>
      </c>
      <c r="E122" s="9">
        <f>IF(OR(B122="",C122=""),"",F122/480*$H$1)</f>
        <v/>
      </c>
      <c r="F122" s="10">
        <f>IF(OR(B122="",C122=""),"",ROUND(MOD(C122-B122,1)*1440,0))</f>
        <v/>
      </c>
    </row>
    <row r="123">
      <c r="A123" s="6" t="n"/>
      <c r="B123" s="7" t="n"/>
      <c r="C123" s="7" t="n"/>
      <c r="D123" s="8">
        <f>IF(OR(B123="",C123=""),"",INT(F123/60)&amp;"時間 "&amp;MOD(F123,60)&amp;"分")</f>
        <v/>
      </c>
      <c r="E123" s="9">
        <f>IF(OR(B123="",C123=""),"",F123/480*$H$1)</f>
        <v/>
      </c>
      <c r="F123" s="10">
        <f>IF(OR(B123="",C123=""),"",ROUND(MOD(C123-B123,1)*1440,0))</f>
        <v/>
      </c>
    </row>
    <row r="124">
      <c r="A124" s="6" t="n"/>
      <c r="B124" s="7" t="n"/>
      <c r="C124" s="7" t="n"/>
      <c r="D124" s="8">
        <f>IF(OR(B124="",C124=""),"",INT(F124/60)&amp;"時間 "&amp;MOD(F124,60)&amp;"分")</f>
        <v/>
      </c>
      <c r="E124" s="9">
        <f>IF(OR(B124="",C124=""),"",F124/480*$H$1)</f>
        <v/>
      </c>
      <c r="F124" s="10">
        <f>IF(OR(B124="",C124=""),"",ROUND(MOD(C124-B124,1)*1440,0))</f>
        <v/>
      </c>
    </row>
    <row r="125">
      <c r="A125" s="6" t="n"/>
      <c r="B125" s="7" t="n"/>
      <c r="C125" s="7" t="n"/>
      <c r="D125" s="8">
        <f>IF(OR(B125="",C125=""),"",INT(F125/60)&amp;"時間 "&amp;MOD(F125,60)&amp;"分")</f>
        <v/>
      </c>
      <c r="E125" s="9">
        <f>IF(OR(B125="",C125=""),"",F125/480*$H$1)</f>
        <v/>
      </c>
      <c r="F125" s="10">
        <f>IF(OR(B125="",C125=""),"",ROUND(MOD(C125-B125,1)*1440,0))</f>
        <v/>
      </c>
    </row>
    <row r="126">
      <c r="A126" s="6" t="n"/>
      <c r="B126" s="7" t="n"/>
      <c r="C126" s="7" t="n"/>
      <c r="D126" s="8">
        <f>IF(OR(B126="",C126=""),"",INT(F126/60)&amp;"時間 "&amp;MOD(F126,60)&amp;"分")</f>
        <v/>
      </c>
      <c r="E126" s="9">
        <f>IF(OR(B126="",C126=""),"",F126/480*$H$1)</f>
        <v/>
      </c>
      <c r="F126" s="10">
        <f>IF(OR(B126="",C126=""),"",ROUND(MOD(C126-B126,1)*1440,0))</f>
        <v/>
      </c>
    </row>
    <row r="127">
      <c r="A127" s="6" t="n"/>
      <c r="B127" s="7" t="n"/>
      <c r="C127" s="7" t="n"/>
      <c r="D127" s="8">
        <f>IF(OR(B127="",C127=""),"",INT(F127/60)&amp;"時間 "&amp;MOD(F127,60)&amp;"分")</f>
        <v/>
      </c>
      <c r="E127" s="9">
        <f>IF(OR(B127="",C127=""),"",F127/480*$H$1)</f>
        <v/>
      </c>
      <c r="F127" s="10">
        <f>IF(OR(B127="",C127=""),"",ROUND(MOD(C127-B127,1)*1440,0))</f>
        <v/>
      </c>
    </row>
    <row r="128">
      <c r="A128" s="6" t="n"/>
      <c r="B128" s="7" t="n"/>
      <c r="C128" s="7" t="n"/>
      <c r="D128" s="8">
        <f>IF(OR(B128="",C128=""),"",INT(F128/60)&amp;"時間 "&amp;MOD(F128,60)&amp;"分")</f>
        <v/>
      </c>
      <c r="E128" s="9">
        <f>IF(OR(B128="",C128=""),"",F128/480*$H$1)</f>
        <v/>
      </c>
      <c r="F128" s="10">
        <f>IF(OR(B128="",C128=""),"",ROUND(MOD(C128-B128,1)*1440,0))</f>
        <v/>
      </c>
    </row>
    <row r="129">
      <c r="A129" s="6" t="n"/>
      <c r="B129" s="7" t="n"/>
      <c r="C129" s="7" t="n"/>
      <c r="D129" s="8">
        <f>IF(OR(B129="",C129=""),"",INT(F129/60)&amp;"時間 "&amp;MOD(F129,60)&amp;"分")</f>
        <v/>
      </c>
      <c r="E129" s="9">
        <f>IF(OR(B129="",C129=""),"",F129/480*$H$1)</f>
        <v/>
      </c>
      <c r="F129" s="10">
        <f>IF(OR(B129="",C129=""),"",ROUND(MOD(C129-B129,1)*1440,0))</f>
        <v/>
      </c>
    </row>
    <row r="130">
      <c r="A130" s="6" t="n"/>
      <c r="B130" s="7" t="n"/>
      <c r="C130" s="7" t="n"/>
      <c r="D130" s="8">
        <f>IF(OR(B130="",C130=""),"",INT(F130/60)&amp;"時間 "&amp;MOD(F130,60)&amp;"分")</f>
        <v/>
      </c>
      <c r="E130" s="9">
        <f>IF(OR(B130="",C130=""),"",F130/480*$H$1)</f>
        <v/>
      </c>
      <c r="F130" s="10">
        <f>IF(OR(B130="",C130=""),"",ROUND(MOD(C130-B130,1)*1440,0))</f>
        <v/>
      </c>
    </row>
    <row r="131">
      <c r="A131" s="6" t="n"/>
      <c r="B131" s="7" t="n"/>
      <c r="C131" s="7" t="n"/>
      <c r="D131" s="8">
        <f>IF(OR(B131="",C131=""),"",INT(F131/60)&amp;"時間 "&amp;MOD(F131,60)&amp;"分")</f>
        <v/>
      </c>
      <c r="E131" s="9">
        <f>IF(OR(B131="",C131=""),"",F131/480*$H$1)</f>
        <v/>
      </c>
      <c r="F131" s="10">
        <f>IF(OR(B131="",C131=""),"",ROUND(MOD(C131-B131,1)*1440,0))</f>
        <v/>
      </c>
    </row>
    <row r="132">
      <c r="A132" s="6" t="n"/>
      <c r="B132" s="7" t="n"/>
      <c r="C132" s="7" t="n"/>
      <c r="D132" s="8">
        <f>IF(OR(B132="",C132=""),"",INT(F132/60)&amp;"時間 "&amp;MOD(F132,60)&amp;"分")</f>
        <v/>
      </c>
      <c r="E132" s="9">
        <f>IF(OR(B132="",C132=""),"",F132/480*$H$1)</f>
        <v/>
      </c>
      <c r="F132" s="10">
        <f>IF(OR(B132="",C132=""),"",ROUND(MOD(C132-B132,1)*1440,0))</f>
        <v/>
      </c>
    </row>
    <row r="133">
      <c r="A133" s="6" t="n"/>
      <c r="B133" s="7" t="n"/>
      <c r="C133" s="7" t="n"/>
      <c r="D133" s="8">
        <f>IF(OR(B133="",C133=""),"",INT(F133/60)&amp;"時間 "&amp;MOD(F133,60)&amp;"分")</f>
        <v/>
      </c>
      <c r="E133" s="9">
        <f>IF(OR(B133="",C133=""),"",F133/480*$H$1)</f>
        <v/>
      </c>
      <c r="F133" s="10">
        <f>IF(OR(B133="",C133=""),"",ROUND(MOD(C133-B133,1)*1440,0))</f>
        <v/>
      </c>
    </row>
    <row r="134">
      <c r="A134" s="6" t="n"/>
      <c r="B134" s="7" t="n"/>
      <c r="C134" s="7" t="n"/>
      <c r="D134" s="8">
        <f>IF(OR(B134="",C134=""),"",INT(F134/60)&amp;"時間 "&amp;MOD(F134,60)&amp;"分")</f>
        <v/>
      </c>
      <c r="E134" s="9">
        <f>IF(OR(B134="",C134=""),"",F134/480*$H$1)</f>
        <v/>
      </c>
      <c r="F134" s="10">
        <f>IF(OR(B134="",C134=""),"",ROUND(MOD(C134-B134,1)*1440,0))</f>
        <v/>
      </c>
    </row>
    <row r="135">
      <c r="A135" s="6" t="n"/>
      <c r="B135" s="7" t="n"/>
      <c r="C135" s="7" t="n"/>
      <c r="D135" s="8">
        <f>IF(OR(B135="",C135=""),"",INT(F135/60)&amp;"時間 "&amp;MOD(F135,60)&amp;"分")</f>
        <v/>
      </c>
      <c r="E135" s="9">
        <f>IF(OR(B135="",C135=""),"",F135/480*$H$1)</f>
        <v/>
      </c>
      <c r="F135" s="10">
        <f>IF(OR(B135="",C135=""),"",ROUND(MOD(C135-B135,1)*1440,0))</f>
        <v/>
      </c>
    </row>
    <row r="136">
      <c r="A136" s="6" t="n"/>
      <c r="B136" s="7" t="n"/>
      <c r="C136" s="7" t="n"/>
      <c r="D136" s="8">
        <f>IF(OR(B136="",C136=""),"",INT(F136/60)&amp;"時間 "&amp;MOD(F136,60)&amp;"分")</f>
        <v/>
      </c>
      <c r="E136" s="9">
        <f>IF(OR(B136="",C136=""),"",F136/480*$H$1)</f>
        <v/>
      </c>
      <c r="F136" s="10">
        <f>IF(OR(B136="",C136=""),"",ROUND(MOD(C136-B136,1)*1440,0))</f>
        <v/>
      </c>
    </row>
    <row r="137">
      <c r="A137" s="6" t="n"/>
      <c r="B137" s="7" t="n"/>
      <c r="C137" s="7" t="n"/>
      <c r="D137" s="8">
        <f>IF(OR(B137="",C137=""),"",INT(F137/60)&amp;"時間 "&amp;MOD(F137,60)&amp;"分")</f>
        <v/>
      </c>
      <c r="E137" s="9">
        <f>IF(OR(B137="",C137=""),"",F137/480*$H$1)</f>
        <v/>
      </c>
      <c r="F137" s="10">
        <f>IF(OR(B137="",C137=""),"",ROUND(MOD(C137-B137,1)*1440,0))</f>
        <v/>
      </c>
    </row>
    <row r="138">
      <c r="A138" s="6" t="n"/>
      <c r="B138" s="7" t="n"/>
      <c r="C138" s="7" t="n"/>
      <c r="D138" s="8">
        <f>IF(OR(B138="",C138=""),"",INT(F138/60)&amp;"時間 "&amp;MOD(F138,60)&amp;"分")</f>
        <v/>
      </c>
      <c r="E138" s="9">
        <f>IF(OR(B138="",C138=""),"",F138/480*$H$1)</f>
        <v/>
      </c>
      <c r="F138" s="10">
        <f>IF(OR(B138="",C138=""),"",ROUND(MOD(C138-B138,1)*1440,0))</f>
        <v/>
      </c>
    </row>
    <row r="139">
      <c r="A139" s="6" t="n"/>
      <c r="B139" s="7" t="n"/>
      <c r="C139" s="7" t="n"/>
      <c r="D139" s="8">
        <f>IF(OR(B139="",C139=""),"",INT(F139/60)&amp;"時間 "&amp;MOD(F139,60)&amp;"分")</f>
        <v/>
      </c>
      <c r="E139" s="9">
        <f>IF(OR(B139="",C139=""),"",F139/480*$H$1)</f>
        <v/>
      </c>
      <c r="F139" s="10">
        <f>IF(OR(B139="",C139=""),"",ROUND(MOD(C139-B139,1)*1440,0))</f>
        <v/>
      </c>
    </row>
    <row r="140">
      <c r="A140" s="6" t="n"/>
      <c r="B140" s="7" t="n"/>
      <c r="C140" s="7" t="n"/>
      <c r="D140" s="8">
        <f>IF(OR(B140="",C140=""),"",INT(F140/60)&amp;"時間 "&amp;MOD(F140,60)&amp;"分")</f>
        <v/>
      </c>
      <c r="E140" s="9">
        <f>IF(OR(B140="",C140=""),"",F140/480*$H$1)</f>
        <v/>
      </c>
      <c r="F140" s="10">
        <f>IF(OR(B140="",C140=""),"",ROUND(MOD(C140-B140,1)*1440,0))</f>
        <v/>
      </c>
    </row>
    <row r="141">
      <c r="A141" s="6" t="n"/>
      <c r="B141" s="7" t="n"/>
      <c r="C141" s="7" t="n"/>
      <c r="D141" s="8">
        <f>IF(OR(B141="",C141=""),"",INT(F141/60)&amp;"時間 "&amp;MOD(F141,60)&amp;"分")</f>
        <v/>
      </c>
      <c r="E141" s="9">
        <f>IF(OR(B141="",C141=""),"",F141/480*$H$1)</f>
        <v/>
      </c>
      <c r="F141" s="10">
        <f>IF(OR(B141="",C141=""),"",ROUND(MOD(C141-B141,1)*1440,0))</f>
        <v/>
      </c>
    </row>
    <row r="142">
      <c r="A142" s="6" t="n"/>
      <c r="B142" s="7" t="n"/>
      <c r="C142" s="7" t="n"/>
      <c r="D142" s="8">
        <f>IF(OR(B142="",C142=""),"",INT(F142/60)&amp;"時間 "&amp;MOD(F142,60)&amp;"分")</f>
        <v/>
      </c>
      <c r="E142" s="9">
        <f>IF(OR(B142="",C142=""),"",F142/480*$H$1)</f>
        <v/>
      </c>
      <c r="F142" s="10">
        <f>IF(OR(B142="",C142=""),"",ROUND(MOD(C142-B142,1)*1440,0))</f>
        <v/>
      </c>
    </row>
    <row r="143">
      <c r="A143" s="6" t="n"/>
      <c r="B143" s="7" t="n"/>
      <c r="C143" s="7" t="n"/>
      <c r="D143" s="8">
        <f>IF(OR(B143="",C143=""),"",INT(F143/60)&amp;"時間 "&amp;MOD(F143,60)&amp;"分")</f>
        <v/>
      </c>
      <c r="E143" s="9">
        <f>IF(OR(B143="",C143=""),"",F143/480*$H$1)</f>
        <v/>
      </c>
      <c r="F143" s="10">
        <f>IF(OR(B143="",C143=""),"",ROUND(MOD(C143-B143,1)*1440,0))</f>
        <v/>
      </c>
    </row>
    <row r="144">
      <c r="A144" s="6" t="n"/>
      <c r="B144" s="7" t="n"/>
      <c r="C144" s="7" t="n"/>
      <c r="D144" s="8">
        <f>IF(OR(B144="",C144=""),"",INT(F144/60)&amp;"時間 "&amp;MOD(F144,60)&amp;"分")</f>
        <v/>
      </c>
      <c r="E144" s="9">
        <f>IF(OR(B144="",C144=""),"",F144/480*$H$1)</f>
        <v/>
      </c>
      <c r="F144" s="10">
        <f>IF(OR(B144="",C144=""),"",ROUND(MOD(C144-B144,1)*1440,0))</f>
        <v/>
      </c>
    </row>
    <row r="145">
      <c r="A145" s="6" t="n"/>
      <c r="B145" s="7" t="n"/>
      <c r="C145" s="7" t="n"/>
      <c r="D145" s="8">
        <f>IF(OR(B145="",C145=""),"",INT(F145/60)&amp;"時間 "&amp;MOD(F145,60)&amp;"分")</f>
        <v/>
      </c>
      <c r="E145" s="9">
        <f>IF(OR(B145="",C145=""),"",F145/480*$H$1)</f>
        <v/>
      </c>
      <c r="F145" s="10">
        <f>IF(OR(B145="",C145=""),"",ROUND(MOD(C145-B145,1)*1440,0))</f>
        <v/>
      </c>
    </row>
    <row r="146">
      <c r="A146" s="6" t="n"/>
      <c r="B146" s="7" t="n"/>
      <c r="C146" s="7" t="n"/>
      <c r="D146" s="8">
        <f>IF(OR(B146="",C146=""),"",INT(F146/60)&amp;"時間 "&amp;MOD(F146,60)&amp;"分")</f>
        <v/>
      </c>
      <c r="E146" s="9">
        <f>IF(OR(B146="",C146=""),"",F146/480*$H$1)</f>
        <v/>
      </c>
      <c r="F146" s="10">
        <f>IF(OR(B146="",C146=""),"",ROUND(MOD(C146-B146,1)*1440,0))</f>
        <v/>
      </c>
    </row>
    <row r="147">
      <c r="A147" s="6" t="n"/>
      <c r="B147" s="7" t="n"/>
      <c r="C147" s="7" t="n"/>
      <c r="D147" s="8">
        <f>IF(OR(B147="",C147=""),"",INT(F147/60)&amp;"時間 "&amp;MOD(F147,60)&amp;"分")</f>
        <v/>
      </c>
      <c r="E147" s="9">
        <f>IF(OR(B147="",C147=""),"",F147/480*$H$1)</f>
        <v/>
      </c>
      <c r="F147" s="10">
        <f>IF(OR(B147="",C147=""),"",ROUND(MOD(C147-B147,1)*1440,0))</f>
        <v/>
      </c>
    </row>
    <row r="148">
      <c r="A148" s="6" t="n"/>
      <c r="B148" s="7" t="n"/>
      <c r="C148" s="7" t="n"/>
      <c r="D148" s="8">
        <f>IF(OR(B148="",C148=""),"",INT(F148/60)&amp;"時間 "&amp;MOD(F148,60)&amp;"分")</f>
        <v/>
      </c>
      <c r="E148" s="9">
        <f>IF(OR(B148="",C148=""),"",F148/480*$H$1)</f>
        <v/>
      </c>
      <c r="F148" s="10">
        <f>IF(OR(B148="",C148=""),"",ROUND(MOD(C148-B148,1)*1440,0))</f>
        <v/>
      </c>
    </row>
    <row r="149">
      <c r="A149" s="6" t="n"/>
      <c r="B149" s="7" t="n"/>
      <c r="C149" s="7" t="n"/>
      <c r="D149" s="8">
        <f>IF(OR(B149="",C149=""),"",INT(F149/60)&amp;"時間 "&amp;MOD(F149,60)&amp;"分")</f>
        <v/>
      </c>
      <c r="E149" s="9">
        <f>IF(OR(B149="",C149=""),"",F149/480*$H$1)</f>
        <v/>
      </c>
      <c r="F149" s="10">
        <f>IF(OR(B149="",C149=""),"",ROUND(MOD(C149-B149,1)*1440,0))</f>
        <v/>
      </c>
    </row>
    <row r="150">
      <c r="A150" s="6" t="n"/>
      <c r="B150" s="7" t="n"/>
      <c r="C150" s="7" t="n"/>
      <c r="D150" s="8">
        <f>IF(OR(B150="",C150=""),"",INT(F150/60)&amp;"時間 "&amp;MOD(F150,60)&amp;"分")</f>
        <v/>
      </c>
      <c r="E150" s="9">
        <f>IF(OR(B150="",C150=""),"",F150/480*$H$1)</f>
        <v/>
      </c>
      <c r="F150" s="10">
        <f>IF(OR(B150="",C150=""),"",ROUND(MOD(C150-B150,1)*1440,0))</f>
        <v/>
      </c>
    </row>
    <row r="151">
      <c r="A151" s="6" t="n"/>
      <c r="B151" s="7" t="n"/>
      <c r="C151" s="7" t="n"/>
      <c r="D151" s="8">
        <f>IF(OR(B151="",C151=""),"",INT(F151/60)&amp;"時間 "&amp;MOD(F151,60)&amp;"分")</f>
        <v/>
      </c>
      <c r="E151" s="9">
        <f>IF(OR(B151="",C151=""),"",F151/480*$H$1)</f>
        <v/>
      </c>
      <c r="F151" s="10">
        <f>IF(OR(B151="",C151=""),"",ROUND(MOD(C151-B151,1)*1440,0))</f>
        <v/>
      </c>
    </row>
    <row r="152">
      <c r="A152" s="6" t="n"/>
      <c r="B152" s="7" t="n"/>
      <c r="C152" s="7" t="n"/>
      <c r="D152" s="8">
        <f>IF(OR(B152="",C152=""),"",INT(F152/60)&amp;"時間 "&amp;MOD(F152,60)&amp;"分")</f>
        <v/>
      </c>
      <c r="E152" s="9">
        <f>IF(OR(B152="",C152=""),"",F152/480*$H$1)</f>
        <v/>
      </c>
      <c r="F152" s="10">
        <f>IF(OR(B152="",C152=""),"",ROUND(MOD(C152-B152,1)*1440,0))</f>
        <v/>
      </c>
    </row>
    <row r="153">
      <c r="A153" s="6" t="n"/>
      <c r="B153" s="7" t="n"/>
      <c r="C153" s="7" t="n"/>
      <c r="D153" s="8">
        <f>IF(OR(B153="",C153=""),"",INT(F153/60)&amp;"時間 "&amp;MOD(F153,60)&amp;"分")</f>
        <v/>
      </c>
      <c r="E153" s="9">
        <f>IF(OR(B153="",C153=""),"",F153/480*$H$1)</f>
        <v/>
      </c>
      <c r="F153" s="10">
        <f>IF(OR(B153="",C153=""),"",ROUND(MOD(C153-B153,1)*1440,0))</f>
        <v/>
      </c>
    </row>
    <row r="154">
      <c r="A154" s="6" t="n"/>
      <c r="B154" s="7" t="n"/>
      <c r="C154" s="7" t="n"/>
      <c r="D154" s="8">
        <f>IF(OR(B154="",C154=""),"",INT(F154/60)&amp;"時間 "&amp;MOD(F154,60)&amp;"分")</f>
        <v/>
      </c>
      <c r="E154" s="9">
        <f>IF(OR(B154="",C154=""),"",F154/480*$H$1)</f>
        <v/>
      </c>
      <c r="F154" s="10">
        <f>IF(OR(B154="",C154=""),"",ROUND(MOD(C154-B154,1)*1440,0))</f>
        <v/>
      </c>
    </row>
    <row r="155">
      <c r="A155" s="6" t="n"/>
      <c r="B155" s="7" t="n"/>
      <c r="C155" s="7" t="n"/>
      <c r="D155" s="8">
        <f>IF(OR(B155="",C155=""),"",INT(F155/60)&amp;"時間 "&amp;MOD(F155,60)&amp;"分")</f>
        <v/>
      </c>
      <c r="E155" s="9">
        <f>IF(OR(B155="",C155=""),"",F155/480*$H$1)</f>
        <v/>
      </c>
      <c r="F155" s="10">
        <f>IF(OR(B155="",C155=""),"",ROUND(MOD(C155-B155,1)*1440,0))</f>
        <v/>
      </c>
    </row>
    <row r="156">
      <c r="A156" s="6" t="n"/>
      <c r="B156" s="7" t="n"/>
      <c r="C156" s="7" t="n"/>
      <c r="D156" s="8">
        <f>IF(OR(B156="",C156=""),"",INT(F156/60)&amp;"時間 "&amp;MOD(F156,60)&amp;"分")</f>
        <v/>
      </c>
      <c r="E156" s="9">
        <f>IF(OR(B156="",C156=""),"",F156/480*$H$1)</f>
        <v/>
      </c>
      <c r="F156" s="10">
        <f>IF(OR(B156="",C156=""),"",ROUND(MOD(C156-B156,1)*1440,0))</f>
        <v/>
      </c>
    </row>
    <row r="157">
      <c r="A157" s="6" t="n"/>
      <c r="B157" s="7" t="n"/>
      <c r="C157" s="7" t="n"/>
      <c r="D157" s="8">
        <f>IF(OR(B157="",C157=""),"",INT(F157/60)&amp;"時間 "&amp;MOD(F157,60)&amp;"分")</f>
        <v/>
      </c>
      <c r="E157" s="9">
        <f>IF(OR(B157="",C157=""),"",F157/480*$H$1)</f>
        <v/>
      </c>
      <c r="F157" s="10">
        <f>IF(OR(B157="",C157=""),"",ROUND(MOD(C157-B157,1)*1440,0))</f>
        <v/>
      </c>
    </row>
    <row r="158">
      <c r="A158" s="6" t="n"/>
      <c r="B158" s="7" t="n"/>
      <c r="C158" s="7" t="n"/>
      <c r="D158" s="8">
        <f>IF(OR(B158="",C158=""),"",INT(F158/60)&amp;"時間 "&amp;MOD(F158,60)&amp;"分")</f>
        <v/>
      </c>
      <c r="E158" s="9">
        <f>IF(OR(B158="",C158=""),"",F158/480*$H$1)</f>
        <v/>
      </c>
      <c r="F158" s="10">
        <f>IF(OR(B158="",C158=""),"",ROUND(MOD(C158-B158,1)*1440,0))</f>
        <v/>
      </c>
    </row>
    <row r="159">
      <c r="A159" s="6" t="n"/>
      <c r="B159" s="7" t="n"/>
      <c r="C159" s="7" t="n"/>
      <c r="D159" s="8">
        <f>IF(OR(B159="",C159=""),"",INT(F159/60)&amp;"時間 "&amp;MOD(F159,60)&amp;"分")</f>
        <v/>
      </c>
      <c r="E159" s="9">
        <f>IF(OR(B159="",C159=""),"",F159/480*$H$1)</f>
        <v/>
      </c>
      <c r="F159" s="10">
        <f>IF(OR(B159="",C159=""),"",ROUND(MOD(C159-B159,1)*1440,0))</f>
        <v/>
      </c>
    </row>
    <row r="160">
      <c r="A160" s="6" t="n"/>
      <c r="B160" s="7" t="n"/>
      <c r="C160" s="7" t="n"/>
      <c r="D160" s="8">
        <f>IF(OR(B160="",C160=""),"",INT(F160/60)&amp;"時間 "&amp;MOD(F160,60)&amp;"分")</f>
        <v/>
      </c>
      <c r="E160" s="9">
        <f>IF(OR(B160="",C160=""),"",F160/480*$H$1)</f>
        <v/>
      </c>
      <c r="F160" s="10">
        <f>IF(OR(B160="",C160=""),"",ROUND(MOD(C160-B160,1)*1440,0))</f>
        <v/>
      </c>
    </row>
    <row r="161">
      <c r="A161" s="6" t="n"/>
      <c r="B161" s="7" t="n"/>
      <c r="C161" s="7" t="n"/>
      <c r="D161" s="8">
        <f>IF(OR(B161="",C161=""),"",INT(F161/60)&amp;"時間 "&amp;MOD(F161,60)&amp;"分")</f>
        <v/>
      </c>
      <c r="E161" s="9">
        <f>IF(OR(B161="",C161=""),"",F161/480*$H$1)</f>
        <v/>
      </c>
      <c r="F161" s="10">
        <f>IF(OR(B161="",C161=""),"",ROUND(MOD(C161-B161,1)*1440,0))</f>
        <v/>
      </c>
    </row>
    <row r="162">
      <c r="A162" s="6" t="n"/>
      <c r="B162" s="7" t="n"/>
      <c r="C162" s="7" t="n"/>
      <c r="D162" s="8">
        <f>IF(OR(B162="",C162=""),"",INT(F162/60)&amp;"時間 "&amp;MOD(F162,60)&amp;"分")</f>
        <v/>
      </c>
      <c r="E162" s="9">
        <f>IF(OR(B162="",C162=""),"",F162/480*$H$1)</f>
        <v/>
      </c>
      <c r="F162" s="10">
        <f>IF(OR(B162="",C162=""),"",ROUND(MOD(C162-B162,1)*1440,0))</f>
        <v/>
      </c>
    </row>
    <row r="163">
      <c r="A163" s="6" t="n"/>
      <c r="B163" s="7" t="n"/>
      <c r="C163" s="7" t="n"/>
      <c r="D163" s="8">
        <f>IF(OR(B163="",C163=""),"",INT(F163/60)&amp;"時間 "&amp;MOD(F163,60)&amp;"分")</f>
        <v/>
      </c>
      <c r="E163" s="9">
        <f>IF(OR(B163="",C163=""),"",F163/480*$H$1)</f>
        <v/>
      </c>
      <c r="F163" s="10">
        <f>IF(OR(B163="",C163=""),"",ROUND(MOD(C163-B163,1)*1440,0))</f>
        <v/>
      </c>
    </row>
    <row r="164">
      <c r="A164" s="6" t="n"/>
      <c r="B164" s="7" t="n"/>
      <c r="C164" s="7" t="n"/>
      <c r="D164" s="8">
        <f>IF(OR(B164="",C164=""),"",INT(F164/60)&amp;"時間 "&amp;MOD(F164,60)&amp;"分")</f>
        <v/>
      </c>
      <c r="E164" s="9">
        <f>IF(OR(B164="",C164=""),"",F164/480*$H$1)</f>
        <v/>
      </c>
      <c r="F164" s="10">
        <f>IF(OR(B164="",C164=""),"",ROUND(MOD(C164-B164,1)*1440,0))</f>
        <v/>
      </c>
    </row>
    <row r="165">
      <c r="A165" s="6" t="n"/>
      <c r="B165" s="7" t="n"/>
      <c r="C165" s="7" t="n"/>
      <c r="D165" s="8">
        <f>IF(OR(B165="",C165=""),"",INT(F165/60)&amp;"時間 "&amp;MOD(F165,60)&amp;"分")</f>
        <v/>
      </c>
      <c r="E165" s="9">
        <f>IF(OR(B165="",C165=""),"",F165/480*$H$1)</f>
        <v/>
      </c>
      <c r="F165" s="10">
        <f>IF(OR(B165="",C165=""),"",ROUND(MOD(C165-B165,1)*1440,0))</f>
        <v/>
      </c>
    </row>
    <row r="166">
      <c r="A166" s="6" t="n"/>
      <c r="B166" s="7" t="n"/>
      <c r="C166" s="7" t="n"/>
      <c r="D166" s="8">
        <f>IF(OR(B166="",C166=""),"",INT(F166/60)&amp;"時間 "&amp;MOD(F166,60)&amp;"分")</f>
        <v/>
      </c>
      <c r="E166" s="9">
        <f>IF(OR(B166="",C166=""),"",F166/480*$H$1)</f>
        <v/>
      </c>
      <c r="F166" s="10">
        <f>IF(OR(B166="",C166=""),"",ROUND(MOD(C166-B166,1)*1440,0))</f>
        <v/>
      </c>
    </row>
    <row r="167">
      <c r="A167" s="6" t="n"/>
      <c r="B167" s="7" t="n"/>
      <c r="C167" s="7" t="n"/>
      <c r="D167" s="8">
        <f>IF(OR(B167="",C167=""),"",INT(F167/60)&amp;"時間 "&amp;MOD(F167,60)&amp;"分")</f>
        <v/>
      </c>
      <c r="E167" s="9">
        <f>IF(OR(B167="",C167=""),"",F167/480*$H$1)</f>
        <v/>
      </c>
      <c r="F167" s="10">
        <f>IF(OR(B167="",C167=""),"",ROUND(MOD(C167-B167,1)*1440,0))</f>
        <v/>
      </c>
    </row>
    <row r="168">
      <c r="A168" s="6" t="n"/>
      <c r="B168" s="7" t="n"/>
      <c r="C168" s="7" t="n"/>
      <c r="D168" s="8">
        <f>IF(OR(B168="",C168=""),"",INT(F168/60)&amp;"時間 "&amp;MOD(F168,60)&amp;"分")</f>
        <v/>
      </c>
      <c r="E168" s="9">
        <f>IF(OR(B168="",C168=""),"",F168/480*$H$1)</f>
        <v/>
      </c>
      <c r="F168" s="10">
        <f>IF(OR(B168="",C168=""),"",ROUND(MOD(C168-B168,1)*1440,0))</f>
        <v/>
      </c>
    </row>
    <row r="169">
      <c r="A169" s="6" t="n"/>
      <c r="B169" s="7" t="n"/>
      <c r="C169" s="7" t="n"/>
      <c r="D169" s="8">
        <f>IF(OR(B169="",C169=""),"",INT(F169/60)&amp;"時間 "&amp;MOD(F169,60)&amp;"分")</f>
        <v/>
      </c>
      <c r="E169" s="9">
        <f>IF(OR(B169="",C169=""),"",F169/480*$H$1)</f>
        <v/>
      </c>
      <c r="F169" s="10">
        <f>IF(OR(B169="",C169=""),"",ROUND(MOD(C169-B169,1)*1440,0))</f>
        <v/>
      </c>
    </row>
    <row r="170">
      <c r="A170" s="6" t="n"/>
      <c r="B170" s="7" t="n"/>
      <c r="C170" s="7" t="n"/>
      <c r="D170" s="8">
        <f>IF(OR(B170="",C170=""),"",INT(F170/60)&amp;"時間 "&amp;MOD(F170,60)&amp;"分")</f>
        <v/>
      </c>
      <c r="E170" s="9">
        <f>IF(OR(B170="",C170=""),"",F170/480*$H$1)</f>
        <v/>
      </c>
      <c r="F170" s="10">
        <f>IF(OR(B170="",C170=""),"",ROUND(MOD(C170-B170,1)*1440,0))</f>
        <v/>
      </c>
    </row>
    <row r="171">
      <c r="A171" s="6" t="n"/>
      <c r="B171" s="7" t="n"/>
      <c r="C171" s="7" t="n"/>
      <c r="D171" s="8">
        <f>IF(OR(B171="",C171=""),"",INT(F171/60)&amp;"時間 "&amp;MOD(F171,60)&amp;"分")</f>
        <v/>
      </c>
      <c r="E171" s="9">
        <f>IF(OR(B171="",C171=""),"",F171/480*$H$1)</f>
        <v/>
      </c>
      <c r="F171" s="10">
        <f>IF(OR(B171="",C171=""),"",ROUND(MOD(C171-B171,1)*1440,0))</f>
        <v/>
      </c>
    </row>
    <row r="172">
      <c r="A172" s="6" t="n"/>
      <c r="B172" s="7" t="n"/>
      <c r="C172" s="7" t="n"/>
      <c r="D172" s="8">
        <f>IF(OR(B172="",C172=""),"",INT(F172/60)&amp;"時間 "&amp;MOD(F172,60)&amp;"分")</f>
        <v/>
      </c>
      <c r="E172" s="9">
        <f>IF(OR(B172="",C172=""),"",F172/480*$H$1)</f>
        <v/>
      </c>
      <c r="F172" s="10">
        <f>IF(OR(B172="",C172=""),"",ROUND(MOD(C172-B172,1)*1440,0))</f>
        <v/>
      </c>
    </row>
    <row r="173">
      <c r="A173" s="6" t="n"/>
      <c r="B173" s="7" t="n"/>
      <c r="C173" s="7" t="n"/>
      <c r="D173" s="8">
        <f>IF(OR(B173="",C173=""),"",INT(F173/60)&amp;"時間 "&amp;MOD(F173,60)&amp;"分")</f>
        <v/>
      </c>
      <c r="E173" s="9">
        <f>IF(OR(B173="",C173=""),"",F173/480*$H$1)</f>
        <v/>
      </c>
      <c r="F173" s="10">
        <f>IF(OR(B173="",C173=""),"",ROUND(MOD(C173-B173,1)*1440,0))</f>
        <v/>
      </c>
    </row>
    <row r="174">
      <c r="A174" s="6" t="n"/>
      <c r="B174" s="7" t="n"/>
      <c r="C174" s="7" t="n"/>
      <c r="D174" s="8">
        <f>IF(OR(B174="",C174=""),"",INT(F174/60)&amp;"時間 "&amp;MOD(F174,60)&amp;"分")</f>
        <v/>
      </c>
      <c r="E174" s="9">
        <f>IF(OR(B174="",C174=""),"",F174/480*$H$1)</f>
        <v/>
      </c>
      <c r="F174" s="10">
        <f>IF(OR(B174="",C174=""),"",ROUND(MOD(C174-B174,1)*1440,0))</f>
        <v/>
      </c>
    </row>
    <row r="175">
      <c r="A175" s="6" t="n"/>
      <c r="B175" s="7" t="n"/>
      <c r="C175" s="7" t="n"/>
      <c r="D175" s="8">
        <f>IF(OR(B175="",C175=""),"",INT(F175/60)&amp;"時間 "&amp;MOD(F175,60)&amp;"分")</f>
        <v/>
      </c>
      <c r="E175" s="9">
        <f>IF(OR(B175="",C175=""),"",F175/480*$H$1)</f>
        <v/>
      </c>
      <c r="F175" s="10">
        <f>IF(OR(B175="",C175=""),"",ROUND(MOD(C175-B175,1)*1440,0))</f>
        <v/>
      </c>
    </row>
    <row r="176">
      <c r="A176" s="6" t="n"/>
      <c r="B176" s="7" t="n"/>
      <c r="C176" s="7" t="n"/>
      <c r="D176" s="8">
        <f>IF(OR(B176="",C176=""),"",INT(F176/60)&amp;"時間 "&amp;MOD(F176,60)&amp;"分")</f>
        <v/>
      </c>
      <c r="E176" s="9">
        <f>IF(OR(B176="",C176=""),"",F176/480*$H$1)</f>
        <v/>
      </c>
      <c r="F176" s="10">
        <f>IF(OR(B176="",C176=""),"",ROUND(MOD(C176-B176,1)*1440,0))</f>
        <v/>
      </c>
    </row>
    <row r="177">
      <c r="A177" s="6" t="n"/>
      <c r="B177" s="7" t="n"/>
      <c r="C177" s="7" t="n"/>
      <c r="D177" s="8">
        <f>IF(OR(B177="",C177=""),"",INT(F177/60)&amp;"時間 "&amp;MOD(F177,60)&amp;"分")</f>
        <v/>
      </c>
      <c r="E177" s="9">
        <f>IF(OR(B177="",C177=""),"",F177/480*$H$1)</f>
        <v/>
      </c>
      <c r="F177" s="10">
        <f>IF(OR(B177="",C177=""),"",ROUND(MOD(C177-B177,1)*1440,0))</f>
        <v/>
      </c>
    </row>
    <row r="178">
      <c r="A178" s="6" t="n"/>
      <c r="B178" s="7" t="n"/>
      <c r="C178" s="7" t="n"/>
      <c r="D178" s="8">
        <f>IF(OR(B178="",C178=""),"",INT(F178/60)&amp;"時間 "&amp;MOD(F178,60)&amp;"分")</f>
        <v/>
      </c>
      <c r="E178" s="9">
        <f>IF(OR(B178="",C178=""),"",F178/480*$H$1)</f>
        <v/>
      </c>
      <c r="F178" s="10">
        <f>IF(OR(B178="",C178=""),"",ROUND(MOD(C178-B178,1)*1440,0))</f>
        <v/>
      </c>
    </row>
    <row r="179">
      <c r="A179" s="6" t="n"/>
      <c r="B179" s="7" t="n"/>
      <c r="C179" s="7" t="n"/>
      <c r="D179" s="8">
        <f>IF(OR(B179="",C179=""),"",INT(F179/60)&amp;"時間 "&amp;MOD(F179,60)&amp;"分")</f>
        <v/>
      </c>
      <c r="E179" s="9">
        <f>IF(OR(B179="",C179=""),"",F179/480*$H$1)</f>
        <v/>
      </c>
      <c r="F179" s="10">
        <f>IF(OR(B179="",C179=""),"",ROUND(MOD(C179-B179,1)*1440,0))</f>
        <v/>
      </c>
    </row>
    <row r="180">
      <c r="A180" s="6" t="n"/>
      <c r="B180" s="7" t="n"/>
      <c r="C180" s="7" t="n"/>
      <c r="D180" s="8">
        <f>IF(OR(B180="",C180=""),"",INT(F180/60)&amp;"時間 "&amp;MOD(F180,60)&amp;"分")</f>
        <v/>
      </c>
      <c r="E180" s="9">
        <f>IF(OR(B180="",C180=""),"",F180/480*$H$1)</f>
        <v/>
      </c>
      <c r="F180" s="10">
        <f>IF(OR(B180="",C180=""),"",ROUND(MOD(C180-B180,1)*1440,0))</f>
        <v/>
      </c>
    </row>
    <row r="181">
      <c r="A181" s="6" t="n"/>
      <c r="B181" s="7" t="n"/>
      <c r="C181" s="7" t="n"/>
      <c r="D181" s="8">
        <f>IF(OR(B181="",C181=""),"",INT(F181/60)&amp;"時間 "&amp;MOD(F181,60)&amp;"分")</f>
        <v/>
      </c>
      <c r="E181" s="9">
        <f>IF(OR(B181="",C181=""),"",F181/480*$H$1)</f>
        <v/>
      </c>
      <c r="F181" s="10">
        <f>IF(OR(B181="",C181=""),"",ROUND(MOD(C181-B181,1)*1440,0))</f>
        <v/>
      </c>
    </row>
    <row r="182">
      <c r="A182" s="6" t="n"/>
      <c r="B182" s="7" t="n"/>
      <c r="C182" s="7" t="n"/>
      <c r="D182" s="8">
        <f>IF(OR(B182="",C182=""),"",INT(F182/60)&amp;"時間 "&amp;MOD(F182,60)&amp;"分")</f>
        <v/>
      </c>
      <c r="E182" s="9">
        <f>IF(OR(B182="",C182=""),"",F182/480*$H$1)</f>
        <v/>
      </c>
      <c r="F182" s="10">
        <f>IF(OR(B182="",C182=""),"",ROUND(MOD(C182-B182,1)*1440,0))</f>
        <v/>
      </c>
    </row>
    <row r="183">
      <c r="A183" s="6" t="n"/>
      <c r="B183" s="7" t="n"/>
      <c r="C183" s="7" t="n"/>
      <c r="D183" s="8">
        <f>IF(OR(B183="",C183=""),"",INT(F183/60)&amp;"時間 "&amp;MOD(F183,60)&amp;"分")</f>
        <v/>
      </c>
      <c r="E183" s="9">
        <f>IF(OR(B183="",C183=""),"",F183/480*$H$1)</f>
        <v/>
      </c>
      <c r="F183" s="10">
        <f>IF(OR(B183="",C183=""),"",ROUND(MOD(C183-B183,1)*1440,0))</f>
        <v/>
      </c>
    </row>
    <row r="184">
      <c r="A184" s="6" t="n"/>
      <c r="B184" s="7" t="n"/>
      <c r="C184" s="7" t="n"/>
      <c r="D184" s="8">
        <f>IF(OR(B184="",C184=""),"",INT(F184/60)&amp;"時間 "&amp;MOD(F184,60)&amp;"分")</f>
        <v/>
      </c>
      <c r="E184" s="9">
        <f>IF(OR(B184="",C184=""),"",F184/480*$H$1)</f>
        <v/>
      </c>
      <c r="F184" s="10">
        <f>IF(OR(B184="",C184=""),"",ROUND(MOD(C184-B184,1)*1440,0))</f>
        <v/>
      </c>
    </row>
    <row r="185">
      <c r="A185" s="6" t="n"/>
      <c r="B185" s="7" t="n"/>
      <c r="C185" s="7" t="n"/>
      <c r="D185" s="8">
        <f>IF(OR(B185="",C185=""),"",INT(F185/60)&amp;"時間 "&amp;MOD(F185,60)&amp;"分")</f>
        <v/>
      </c>
      <c r="E185" s="9">
        <f>IF(OR(B185="",C185=""),"",F185/480*$H$1)</f>
        <v/>
      </c>
      <c r="F185" s="10">
        <f>IF(OR(B185="",C185=""),"",ROUND(MOD(C185-B185,1)*1440,0))</f>
        <v/>
      </c>
    </row>
    <row r="186">
      <c r="A186" s="6" t="n"/>
      <c r="B186" s="7" t="n"/>
      <c r="C186" s="7" t="n"/>
      <c r="D186" s="8">
        <f>IF(OR(B186="",C186=""),"",INT(F186/60)&amp;"時間 "&amp;MOD(F186,60)&amp;"分")</f>
        <v/>
      </c>
      <c r="E186" s="9">
        <f>IF(OR(B186="",C186=""),"",F186/480*$H$1)</f>
        <v/>
      </c>
      <c r="F186" s="10">
        <f>IF(OR(B186="",C186=""),"",ROUND(MOD(C186-B186,1)*1440,0))</f>
        <v/>
      </c>
    </row>
    <row r="187">
      <c r="A187" s="6" t="n"/>
      <c r="B187" s="7" t="n"/>
      <c r="C187" s="7" t="n"/>
      <c r="D187" s="8">
        <f>IF(OR(B187="",C187=""),"",INT(F187/60)&amp;"時間 "&amp;MOD(F187,60)&amp;"分")</f>
        <v/>
      </c>
      <c r="E187" s="9">
        <f>IF(OR(B187="",C187=""),"",F187/480*$H$1)</f>
        <v/>
      </c>
      <c r="F187" s="10">
        <f>IF(OR(B187="",C187=""),"",ROUND(MOD(C187-B187,1)*1440,0))</f>
        <v/>
      </c>
    </row>
    <row r="188">
      <c r="A188" s="6" t="n"/>
      <c r="B188" s="7" t="n"/>
      <c r="C188" s="7" t="n"/>
      <c r="D188" s="8">
        <f>IF(OR(B188="",C188=""),"",INT(F188/60)&amp;"時間 "&amp;MOD(F188,60)&amp;"分")</f>
        <v/>
      </c>
      <c r="E188" s="9">
        <f>IF(OR(B188="",C188=""),"",F188/480*$H$1)</f>
        <v/>
      </c>
      <c r="F188" s="10">
        <f>IF(OR(B188="",C188=""),"",ROUND(MOD(C188-B188,1)*1440,0))</f>
        <v/>
      </c>
    </row>
    <row r="189">
      <c r="A189" s="6" t="n"/>
      <c r="B189" s="7" t="n"/>
      <c r="C189" s="7" t="n"/>
      <c r="D189" s="8">
        <f>IF(OR(B189="",C189=""),"",INT(F189/60)&amp;"時間 "&amp;MOD(F189,60)&amp;"分")</f>
        <v/>
      </c>
      <c r="E189" s="9">
        <f>IF(OR(B189="",C189=""),"",F189/480*$H$1)</f>
        <v/>
      </c>
      <c r="F189" s="10">
        <f>IF(OR(B189="",C189=""),"",ROUND(MOD(C189-B189,1)*1440,0))</f>
        <v/>
      </c>
    </row>
    <row r="190">
      <c r="A190" s="6" t="n"/>
      <c r="B190" s="7" t="n"/>
      <c r="C190" s="7" t="n"/>
      <c r="D190" s="8">
        <f>IF(OR(B190="",C190=""),"",INT(F190/60)&amp;"時間 "&amp;MOD(F190,60)&amp;"分")</f>
        <v/>
      </c>
      <c r="E190" s="9">
        <f>IF(OR(B190="",C190=""),"",F190/480*$H$1)</f>
        <v/>
      </c>
      <c r="F190" s="10">
        <f>IF(OR(B190="",C190=""),"",ROUND(MOD(C190-B190,1)*1440,0))</f>
        <v/>
      </c>
    </row>
    <row r="191">
      <c r="A191" s="6" t="n"/>
      <c r="B191" s="7" t="n"/>
      <c r="C191" s="7" t="n"/>
      <c r="D191" s="8">
        <f>IF(OR(B191="",C191=""),"",INT(F191/60)&amp;"時間 "&amp;MOD(F191,60)&amp;"分")</f>
        <v/>
      </c>
      <c r="E191" s="9">
        <f>IF(OR(B191="",C191=""),"",F191/480*$H$1)</f>
        <v/>
      </c>
      <c r="F191" s="10">
        <f>IF(OR(B191="",C191=""),"",ROUND(MOD(C191-B191,1)*1440,0))</f>
        <v/>
      </c>
    </row>
    <row r="192">
      <c r="A192" s="6" t="n"/>
      <c r="B192" s="7" t="n"/>
      <c r="C192" s="7" t="n"/>
      <c r="D192" s="8">
        <f>IF(OR(B192="",C192=""),"",INT(F192/60)&amp;"時間 "&amp;MOD(F192,60)&amp;"分")</f>
        <v/>
      </c>
      <c r="E192" s="9">
        <f>IF(OR(B192="",C192=""),"",F192/480*$H$1)</f>
        <v/>
      </c>
      <c r="F192" s="10">
        <f>IF(OR(B192="",C192=""),"",ROUND(MOD(C192-B192,1)*1440,0))</f>
        <v/>
      </c>
    </row>
    <row r="193">
      <c r="A193" s="6" t="n"/>
      <c r="B193" s="7" t="n"/>
      <c r="C193" s="7" t="n"/>
      <c r="D193" s="8">
        <f>IF(OR(B193="",C193=""),"",INT(F193/60)&amp;"時間 "&amp;MOD(F193,60)&amp;"分")</f>
        <v/>
      </c>
      <c r="E193" s="9">
        <f>IF(OR(B193="",C193=""),"",F193/480*$H$1)</f>
        <v/>
      </c>
      <c r="F193" s="10">
        <f>IF(OR(B193="",C193=""),"",ROUND(MOD(C193-B193,1)*1440,0))</f>
        <v/>
      </c>
    </row>
    <row r="194">
      <c r="A194" s="6" t="n"/>
      <c r="B194" s="7" t="n"/>
      <c r="C194" s="7" t="n"/>
      <c r="D194" s="8">
        <f>IF(OR(B194="",C194=""),"",INT(F194/60)&amp;"時間 "&amp;MOD(F194,60)&amp;"分")</f>
        <v/>
      </c>
      <c r="E194" s="9">
        <f>IF(OR(B194="",C194=""),"",F194/480*$H$1)</f>
        <v/>
      </c>
      <c r="F194" s="10">
        <f>IF(OR(B194="",C194=""),"",ROUND(MOD(C194-B194,1)*1440,0))</f>
        <v/>
      </c>
    </row>
    <row r="195">
      <c r="A195" s="6" t="n"/>
      <c r="B195" s="7" t="n"/>
      <c r="C195" s="7" t="n"/>
      <c r="D195" s="8">
        <f>IF(OR(B195="",C195=""),"",INT(F195/60)&amp;"時間 "&amp;MOD(F195,60)&amp;"分")</f>
        <v/>
      </c>
      <c r="E195" s="9">
        <f>IF(OR(B195="",C195=""),"",F195/480*$H$1)</f>
        <v/>
      </c>
      <c r="F195" s="10">
        <f>IF(OR(B195="",C195=""),"",ROUND(MOD(C195-B195,1)*1440,0))</f>
        <v/>
      </c>
    </row>
    <row r="196">
      <c r="A196" s="6" t="n"/>
      <c r="B196" s="7" t="n"/>
      <c r="C196" s="7" t="n"/>
      <c r="D196" s="8">
        <f>IF(OR(B196="",C196=""),"",INT(F196/60)&amp;"時間 "&amp;MOD(F196,60)&amp;"分")</f>
        <v/>
      </c>
      <c r="E196" s="9">
        <f>IF(OR(B196="",C196=""),"",F196/480*$H$1)</f>
        <v/>
      </c>
      <c r="F196" s="10">
        <f>IF(OR(B196="",C196=""),"",ROUND(MOD(C196-B196,1)*1440,0))</f>
        <v/>
      </c>
    </row>
    <row r="197">
      <c r="A197" s="6" t="n"/>
      <c r="B197" s="7" t="n"/>
      <c r="C197" s="7" t="n"/>
      <c r="D197" s="8">
        <f>IF(OR(B197="",C197=""),"",INT(F197/60)&amp;"時間 "&amp;MOD(F197,60)&amp;"分")</f>
        <v/>
      </c>
      <c r="E197" s="9">
        <f>IF(OR(B197="",C197=""),"",F197/480*$H$1)</f>
        <v/>
      </c>
      <c r="F197" s="10">
        <f>IF(OR(B197="",C197=""),"",ROUND(MOD(C197-B197,1)*1440,0))</f>
        <v/>
      </c>
    </row>
    <row r="198">
      <c r="A198" s="6" t="n"/>
      <c r="B198" s="7" t="n"/>
      <c r="C198" s="7" t="n"/>
      <c r="D198" s="8">
        <f>IF(OR(B198="",C198=""),"",INT(F198/60)&amp;"時間 "&amp;MOD(F198,60)&amp;"分")</f>
        <v/>
      </c>
      <c r="E198" s="9">
        <f>IF(OR(B198="",C198=""),"",F198/480*$H$1)</f>
        <v/>
      </c>
      <c r="F198" s="10">
        <f>IF(OR(B198="",C198=""),"",ROUND(MOD(C198-B198,1)*1440,0))</f>
        <v/>
      </c>
    </row>
    <row r="199">
      <c r="A199" s="6" t="n"/>
      <c r="B199" s="7" t="n"/>
      <c r="C199" s="7" t="n"/>
      <c r="D199" s="8">
        <f>IF(OR(B199="",C199=""),"",INT(F199/60)&amp;"時間 "&amp;MOD(F199,60)&amp;"分")</f>
        <v/>
      </c>
      <c r="E199" s="9">
        <f>IF(OR(B199="",C199=""),"",F199/480*$H$1)</f>
        <v/>
      </c>
      <c r="F199" s="10">
        <f>IF(OR(B199="",C199=""),"",ROUND(MOD(C199-B199,1)*1440,0))</f>
        <v/>
      </c>
    </row>
    <row r="200">
      <c r="A200" s="6" t="n"/>
      <c r="B200" s="7" t="n"/>
      <c r="C200" s="7" t="n"/>
      <c r="D200" s="8">
        <f>IF(OR(B200="",C200=""),"",INT(F200/60)&amp;"時間 "&amp;MOD(F200,60)&amp;"分")</f>
        <v/>
      </c>
      <c r="E200" s="9">
        <f>IF(OR(B200="",C200=""),"",F200/480*$H$1)</f>
        <v/>
      </c>
      <c r="F200" s="10">
        <f>IF(OR(B200="",C200=""),"",ROUND(MOD(C200-B200,1)*1440,0))</f>
        <v/>
      </c>
    </row>
    <row r="201">
      <c r="A201" s="6" t="n"/>
      <c r="B201" s="7" t="n"/>
      <c r="C201" s="7" t="n"/>
      <c r="D201" s="8">
        <f>IF(OR(B201="",C201=""),"",INT(F201/60)&amp;"時間 "&amp;MOD(F201,60)&amp;"分")</f>
        <v/>
      </c>
      <c r="E201" s="9">
        <f>IF(OR(B201="",C201=""),"",F201/480*$H$1)</f>
        <v/>
      </c>
      <c r="F201" s="10">
        <f>IF(OR(B201="",C201=""),"",ROUND(MOD(C201-B201,1)*1440,0))</f>
        <v/>
      </c>
    </row>
    <row r="202">
      <c r="A202" s="6" t="n"/>
      <c r="B202" s="7" t="n"/>
      <c r="C202" s="7" t="n"/>
      <c r="D202" s="8">
        <f>IF(OR(B202="",C202=""),"",INT(F202/60)&amp;"時間 "&amp;MOD(F202,60)&amp;"分")</f>
        <v/>
      </c>
      <c r="E202" s="9">
        <f>IF(OR(B202="",C202=""),"",F202/480*$H$1)</f>
        <v/>
      </c>
      <c r="F202" s="10">
        <f>IF(OR(B202="",C202=""),"",ROUND(MOD(C202-B202,1)*1440,0))</f>
        <v/>
      </c>
    </row>
    <row r="203">
      <c r="A203" s="6" t="n"/>
      <c r="B203" s="7" t="n"/>
      <c r="C203" s="7" t="n"/>
      <c r="D203" s="8">
        <f>IF(OR(B203="",C203=""),"",INT(F203/60)&amp;"時間 "&amp;MOD(F203,60)&amp;"分")</f>
        <v/>
      </c>
      <c r="E203" s="9">
        <f>IF(OR(B203="",C203=""),"",F203/480*$H$1)</f>
        <v/>
      </c>
      <c r="F203" s="10">
        <f>IF(OR(B203="",C203=""),"",ROUND(MOD(C203-B203,1)*1440,0))</f>
        <v/>
      </c>
    </row>
    <row r="204">
      <c r="A204" s="6" t="n"/>
      <c r="B204" s="7" t="n"/>
      <c r="C204" s="7" t="n"/>
      <c r="D204" s="8">
        <f>IF(OR(B204="",C204=""),"",INT(F204/60)&amp;"時間 "&amp;MOD(F204,60)&amp;"分")</f>
        <v/>
      </c>
      <c r="E204" s="9">
        <f>IF(OR(B204="",C204=""),"",F204/480*$H$1)</f>
        <v/>
      </c>
      <c r="F204" s="10">
        <f>IF(OR(B204="",C204=""),"",ROUND(MOD(C204-B204,1)*1440,0))</f>
        <v/>
      </c>
    </row>
    <row r="205">
      <c r="A205" s="6" t="n"/>
      <c r="B205" s="7" t="n"/>
      <c r="C205" s="7" t="n"/>
      <c r="D205" s="8">
        <f>IF(OR(B205="",C205=""),"",INT(F205/60)&amp;"時間 "&amp;MOD(F205,60)&amp;"分")</f>
        <v/>
      </c>
      <c r="E205" s="9">
        <f>IF(OR(B205="",C205=""),"",F205/480*$H$1)</f>
        <v/>
      </c>
      <c r="F205" s="10">
        <f>IF(OR(B205="",C205=""),"",ROUND(MOD(C205-B205,1)*1440,0))</f>
        <v/>
      </c>
    </row>
    <row r="206">
      <c r="A206" s="6" t="n"/>
      <c r="B206" s="7" t="n"/>
      <c r="C206" s="7" t="n"/>
      <c r="D206" s="8">
        <f>IF(OR(B206="",C206=""),"",INT(F206/60)&amp;"時間 "&amp;MOD(F206,60)&amp;"分")</f>
        <v/>
      </c>
      <c r="E206" s="9">
        <f>IF(OR(B206="",C206=""),"",F206/480*$H$1)</f>
        <v/>
      </c>
      <c r="F206" s="10">
        <f>IF(OR(B206="",C206=""),"",ROUND(MOD(C206-B206,1)*1440,0))</f>
        <v/>
      </c>
    </row>
    <row r="207">
      <c r="A207" s="6" t="n"/>
      <c r="B207" s="7" t="n"/>
      <c r="C207" s="7" t="n"/>
      <c r="D207" s="8">
        <f>IF(OR(B207="",C207=""),"",INT(F207/60)&amp;"時間 "&amp;MOD(F207,60)&amp;"分")</f>
        <v/>
      </c>
      <c r="E207" s="9">
        <f>IF(OR(B207="",C207=""),"",F207/480*$H$1)</f>
        <v/>
      </c>
      <c r="F207" s="10">
        <f>IF(OR(B207="",C207=""),"",ROUND(MOD(C207-B207,1)*1440,0))</f>
        <v/>
      </c>
    </row>
    <row r="208">
      <c r="A208" s="6" t="n"/>
      <c r="B208" s="7" t="n"/>
      <c r="C208" s="7" t="n"/>
      <c r="D208" s="8">
        <f>IF(OR(B208="",C208=""),"",INT(F208/60)&amp;"時間 "&amp;MOD(F208,60)&amp;"分")</f>
        <v/>
      </c>
      <c r="E208" s="9">
        <f>IF(OR(B208="",C208=""),"",F208/480*$H$1)</f>
        <v/>
      </c>
      <c r="F208" s="10">
        <f>IF(OR(B208="",C208=""),"",ROUND(MOD(C208-B208,1)*1440,0))</f>
        <v/>
      </c>
    </row>
    <row r="209">
      <c r="A209" s="6" t="n"/>
      <c r="B209" s="7" t="n"/>
      <c r="C209" s="7" t="n"/>
      <c r="D209" s="8">
        <f>IF(OR(B209="",C209=""),"",INT(F209/60)&amp;"時間 "&amp;MOD(F209,60)&amp;"分")</f>
        <v/>
      </c>
      <c r="E209" s="9">
        <f>IF(OR(B209="",C209=""),"",F209/480*$H$1)</f>
        <v/>
      </c>
      <c r="F209" s="10">
        <f>IF(OR(B209="",C209=""),"",ROUND(MOD(C209-B209,1)*1440,0))</f>
        <v/>
      </c>
    </row>
    <row r="210">
      <c r="A210" s="6" t="n"/>
      <c r="B210" s="7" t="n"/>
      <c r="C210" s="7" t="n"/>
      <c r="D210" s="8">
        <f>IF(OR(B210="",C210=""),"",INT(F210/60)&amp;"時間 "&amp;MOD(F210,60)&amp;"分")</f>
        <v/>
      </c>
      <c r="E210" s="9">
        <f>IF(OR(B210="",C210=""),"",F210/480*$H$1)</f>
        <v/>
      </c>
      <c r="F210" s="10">
        <f>IF(OR(B210="",C210=""),"",ROUND(MOD(C210-B210,1)*1440,0))</f>
        <v/>
      </c>
    </row>
    <row r="211">
      <c r="A211" s="6" t="n"/>
      <c r="B211" s="7" t="n"/>
      <c r="C211" s="7" t="n"/>
      <c r="D211" s="8">
        <f>IF(OR(B211="",C211=""),"",INT(F211/60)&amp;"時間 "&amp;MOD(F211,60)&amp;"分")</f>
        <v/>
      </c>
      <c r="E211" s="9">
        <f>IF(OR(B211="",C211=""),"",F211/480*$H$1)</f>
        <v/>
      </c>
      <c r="F211" s="10">
        <f>IF(OR(B211="",C211=""),"",ROUND(MOD(C211-B211,1)*1440,0))</f>
        <v/>
      </c>
    </row>
    <row r="212">
      <c r="A212" s="6" t="n"/>
      <c r="B212" s="7" t="n"/>
      <c r="C212" s="7" t="n"/>
      <c r="D212" s="8">
        <f>IF(OR(B212="",C212=""),"",INT(F212/60)&amp;"時間 "&amp;MOD(F212,60)&amp;"分")</f>
        <v/>
      </c>
      <c r="E212" s="9">
        <f>IF(OR(B212="",C212=""),"",F212/480*$H$1)</f>
        <v/>
      </c>
      <c r="F212" s="10">
        <f>IF(OR(B212="",C212=""),"",ROUND(MOD(C212-B212,1)*1440,0))</f>
        <v/>
      </c>
    </row>
    <row r="213">
      <c r="A213" s="6" t="n"/>
      <c r="B213" s="7" t="n"/>
      <c r="C213" s="7" t="n"/>
      <c r="D213" s="8">
        <f>IF(OR(B213="",C213=""),"",INT(F213/60)&amp;"時間 "&amp;MOD(F213,60)&amp;"分")</f>
        <v/>
      </c>
      <c r="E213" s="9">
        <f>IF(OR(B213="",C213=""),"",F213/480*$H$1)</f>
        <v/>
      </c>
      <c r="F213" s="10">
        <f>IF(OR(B213="",C213=""),"",ROUND(MOD(C213-B213,1)*1440,0))</f>
        <v/>
      </c>
    </row>
    <row r="214">
      <c r="A214" s="6" t="n"/>
      <c r="B214" s="7" t="n"/>
      <c r="C214" s="7" t="n"/>
      <c r="D214" s="8">
        <f>IF(OR(B214="",C214=""),"",INT(F214/60)&amp;"時間 "&amp;MOD(F214,60)&amp;"分")</f>
        <v/>
      </c>
      <c r="E214" s="9">
        <f>IF(OR(B214="",C214=""),"",F214/480*$H$1)</f>
        <v/>
      </c>
      <c r="F214" s="10">
        <f>IF(OR(B214="",C214=""),"",ROUND(MOD(C214-B214,1)*1440,0))</f>
        <v/>
      </c>
    </row>
    <row r="215">
      <c r="A215" s="6" t="n"/>
      <c r="B215" s="7" t="n"/>
      <c r="C215" s="7" t="n"/>
      <c r="D215" s="8">
        <f>IF(OR(B215="",C215=""),"",INT(F215/60)&amp;"時間 "&amp;MOD(F215,60)&amp;"分")</f>
        <v/>
      </c>
      <c r="E215" s="9">
        <f>IF(OR(B215="",C215=""),"",F215/480*$H$1)</f>
        <v/>
      </c>
      <c r="F215" s="10">
        <f>IF(OR(B215="",C215=""),"",ROUND(MOD(C215-B215,1)*1440,0))</f>
        <v/>
      </c>
    </row>
    <row r="216">
      <c r="A216" s="6" t="n"/>
      <c r="B216" s="7" t="n"/>
      <c r="C216" s="7" t="n"/>
      <c r="D216" s="8">
        <f>IF(OR(B216="",C216=""),"",INT(F216/60)&amp;"時間 "&amp;MOD(F216,60)&amp;"分")</f>
        <v/>
      </c>
      <c r="E216" s="9">
        <f>IF(OR(B216="",C216=""),"",F216/480*$H$1)</f>
        <v/>
      </c>
      <c r="F216" s="10">
        <f>IF(OR(B216="",C216=""),"",ROUND(MOD(C216-B216,1)*1440,0))</f>
        <v/>
      </c>
    </row>
    <row r="217">
      <c r="A217" s="6" t="n"/>
      <c r="B217" s="7" t="n"/>
      <c r="C217" s="7" t="n"/>
      <c r="D217" s="8">
        <f>IF(OR(B217="",C217=""),"",INT(F217/60)&amp;"時間 "&amp;MOD(F217,60)&amp;"分")</f>
        <v/>
      </c>
      <c r="E217" s="9">
        <f>IF(OR(B217="",C217=""),"",F217/480*$H$1)</f>
        <v/>
      </c>
      <c r="F217" s="10">
        <f>IF(OR(B217="",C217=""),"",ROUND(MOD(C217-B217,1)*1440,0))</f>
        <v/>
      </c>
    </row>
    <row r="218">
      <c r="A218" s="6" t="n"/>
      <c r="B218" s="7" t="n"/>
      <c r="C218" s="7" t="n"/>
      <c r="D218" s="8">
        <f>IF(OR(B218="",C218=""),"",INT(F218/60)&amp;"時間 "&amp;MOD(F218,60)&amp;"分")</f>
        <v/>
      </c>
      <c r="E218" s="9">
        <f>IF(OR(B218="",C218=""),"",F218/480*$H$1)</f>
        <v/>
      </c>
      <c r="F218" s="10">
        <f>IF(OR(B218="",C218=""),"",ROUND(MOD(C218-B218,1)*1440,0))</f>
        <v/>
      </c>
    </row>
    <row r="219">
      <c r="A219" s="6" t="n"/>
      <c r="B219" s="7" t="n"/>
      <c r="C219" s="7" t="n"/>
      <c r="D219" s="8">
        <f>IF(OR(B219="",C219=""),"",INT(F219/60)&amp;"時間 "&amp;MOD(F219,60)&amp;"分")</f>
        <v/>
      </c>
      <c r="E219" s="9">
        <f>IF(OR(B219="",C219=""),"",F219/480*$H$1)</f>
        <v/>
      </c>
      <c r="F219" s="10">
        <f>IF(OR(B219="",C219=""),"",ROUND(MOD(C219-B219,1)*1440,0))</f>
        <v/>
      </c>
    </row>
    <row r="220">
      <c r="A220" s="6" t="n"/>
      <c r="B220" s="7" t="n"/>
      <c r="C220" s="7" t="n"/>
      <c r="D220" s="8">
        <f>IF(OR(B220="",C220=""),"",INT(F220/60)&amp;"時間 "&amp;MOD(F220,60)&amp;"分")</f>
        <v/>
      </c>
      <c r="E220" s="9">
        <f>IF(OR(B220="",C220=""),"",F220/480*$H$1)</f>
        <v/>
      </c>
      <c r="F220" s="10">
        <f>IF(OR(B220="",C220=""),"",ROUND(MOD(C220-B220,1)*1440,0))</f>
        <v/>
      </c>
    </row>
    <row r="221">
      <c r="A221" s="6" t="n"/>
      <c r="B221" s="7" t="n"/>
      <c r="C221" s="7" t="n"/>
      <c r="D221" s="8">
        <f>IF(OR(B221="",C221=""),"",INT(F221/60)&amp;"時間 "&amp;MOD(F221,60)&amp;"分")</f>
        <v/>
      </c>
      <c r="E221" s="9">
        <f>IF(OR(B221="",C221=""),"",F221/480*$H$1)</f>
        <v/>
      </c>
      <c r="F221" s="10">
        <f>IF(OR(B221="",C221=""),"",ROUND(MOD(C221-B221,1)*1440,0))</f>
        <v/>
      </c>
    </row>
    <row r="222">
      <c r="A222" s="6" t="n"/>
      <c r="B222" s="7" t="n"/>
      <c r="C222" s="7" t="n"/>
      <c r="D222" s="8">
        <f>IF(OR(B222="",C222=""),"",INT(F222/60)&amp;"時間 "&amp;MOD(F222,60)&amp;"分")</f>
        <v/>
      </c>
      <c r="E222" s="9">
        <f>IF(OR(B222="",C222=""),"",F222/480*$H$1)</f>
        <v/>
      </c>
      <c r="F222" s="10">
        <f>IF(OR(B222="",C222=""),"",ROUND(MOD(C222-B222,1)*1440,0))</f>
        <v/>
      </c>
    </row>
    <row r="223">
      <c r="A223" s="6" t="n"/>
      <c r="B223" s="7" t="n"/>
      <c r="C223" s="7" t="n"/>
      <c r="D223" s="8">
        <f>IF(OR(B223="",C223=""),"",INT(F223/60)&amp;"時間 "&amp;MOD(F223,60)&amp;"分")</f>
        <v/>
      </c>
      <c r="E223" s="9">
        <f>IF(OR(B223="",C223=""),"",F223/480*$H$1)</f>
        <v/>
      </c>
      <c r="F223" s="10">
        <f>IF(OR(B223="",C223=""),"",ROUND(MOD(C223-B223,1)*1440,0))</f>
        <v/>
      </c>
    </row>
    <row r="224">
      <c r="A224" s="6" t="n"/>
      <c r="B224" s="7" t="n"/>
      <c r="C224" s="7" t="n"/>
      <c r="D224" s="8">
        <f>IF(OR(B224="",C224=""),"",INT(F224/60)&amp;"時間 "&amp;MOD(F224,60)&amp;"分")</f>
        <v/>
      </c>
      <c r="E224" s="9">
        <f>IF(OR(B224="",C224=""),"",F224/480*$H$1)</f>
        <v/>
      </c>
      <c r="F224" s="10">
        <f>IF(OR(B224="",C224=""),"",ROUND(MOD(C224-B224,1)*1440,0))</f>
        <v/>
      </c>
    </row>
    <row r="225">
      <c r="A225" s="6" t="n"/>
      <c r="B225" s="7" t="n"/>
      <c r="C225" s="7" t="n"/>
      <c r="D225" s="8">
        <f>IF(OR(B225="",C225=""),"",INT(F225/60)&amp;"時間 "&amp;MOD(F225,60)&amp;"分")</f>
        <v/>
      </c>
      <c r="E225" s="9">
        <f>IF(OR(B225="",C225=""),"",F225/480*$H$1)</f>
        <v/>
      </c>
      <c r="F225" s="10">
        <f>IF(OR(B225="",C225=""),"",ROUND(MOD(C225-B225,1)*1440,0))</f>
        <v/>
      </c>
    </row>
    <row r="226">
      <c r="A226" s="6" t="n"/>
      <c r="B226" s="7" t="n"/>
      <c r="C226" s="7" t="n"/>
      <c r="D226" s="8">
        <f>IF(OR(B226="",C226=""),"",INT(F226/60)&amp;"時間 "&amp;MOD(F226,60)&amp;"分")</f>
        <v/>
      </c>
      <c r="E226" s="9">
        <f>IF(OR(B226="",C226=""),"",F226/480*$H$1)</f>
        <v/>
      </c>
      <c r="F226" s="10">
        <f>IF(OR(B226="",C226=""),"",ROUND(MOD(C226-B226,1)*1440,0))</f>
        <v/>
      </c>
    </row>
    <row r="227">
      <c r="A227" s="6" t="n"/>
      <c r="B227" s="7" t="n"/>
      <c r="C227" s="7" t="n"/>
      <c r="D227" s="8">
        <f>IF(OR(B227="",C227=""),"",INT(F227/60)&amp;"時間 "&amp;MOD(F227,60)&amp;"分")</f>
        <v/>
      </c>
      <c r="E227" s="9">
        <f>IF(OR(B227="",C227=""),"",F227/480*$H$1)</f>
        <v/>
      </c>
      <c r="F227" s="10">
        <f>IF(OR(B227="",C227=""),"",ROUND(MOD(C227-B227,1)*1440,0))</f>
        <v/>
      </c>
    </row>
    <row r="228">
      <c r="A228" s="6" t="n"/>
      <c r="B228" s="7" t="n"/>
      <c r="C228" s="7" t="n"/>
      <c r="D228" s="8">
        <f>IF(OR(B228="",C228=""),"",INT(F228/60)&amp;"時間 "&amp;MOD(F228,60)&amp;"分")</f>
        <v/>
      </c>
      <c r="E228" s="9">
        <f>IF(OR(B228="",C228=""),"",F228/480*$H$1)</f>
        <v/>
      </c>
      <c r="F228" s="10">
        <f>IF(OR(B228="",C228=""),"",ROUND(MOD(C228-B228,1)*1440,0))</f>
        <v/>
      </c>
    </row>
    <row r="229">
      <c r="A229" s="6" t="n"/>
      <c r="B229" s="7" t="n"/>
      <c r="C229" s="7" t="n"/>
      <c r="D229" s="8">
        <f>IF(OR(B229="",C229=""),"",INT(F229/60)&amp;"時間 "&amp;MOD(F229,60)&amp;"分")</f>
        <v/>
      </c>
      <c r="E229" s="9">
        <f>IF(OR(B229="",C229=""),"",F229/480*$H$1)</f>
        <v/>
      </c>
      <c r="F229" s="10">
        <f>IF(OR(B229="",C229=""),"",ROUND(MOD(C229-B229,1)*1440,0))</f>
        <v/>
      </c>
    </row>
    <row r="230">
      <c r="A230" s="6" t="n"/>
      <c r="B230" s="7" t="n"/>
      <c r="C230" s="7" t="n"/>
      <c r="D230" s="8">
        <f>IF(OR(B230="",C230=""),"",INT(F230/60)&amp;"時間 "&amp;MOD(F230,60)&amp;"分")</f>
        <v/>
      </c>
      <c r="E230" s="9">
        <f>IF(OR(B230="",C230=""),"",F230/480*$H$1)</f>
        <v/>
      </c>
      <c r="F230" s="10">
        <f>IF(OR(B230="",C230=""),"",ROUND(MOD(C230-B230,1)*1440,0))</f>
        <v/>
      </c>
    </row>
    <row r="231">
      <c r="A231" s="6" t="n"/>
      <c r="B231" s="7" t="n"/>
      <c r="C231" s="7" t="n"/>
      <c r="D231" s="8">
        <f>IF(OR(B231="",C231=""),"",INT(F231/60)&amp;"時間 "&amp;MOD(F231,60)&amp;"分")</f>
        <v/>
      </c>
      <c r="E231" s="9">
        <f>IF(OR(B231="",C231=""),"",F231/480*$H$1)</f>
        <v/>
      </c>
      <c r="F231" s="10">
        <f>IF(OR(B231="",C231=""),"",ROUND(MOD(C231-B231,1)*1440,0))</f>
        <v/>
      </c>
    </row>
    <row r="232">
      <c r="A232" s="6" t="n"/>
      <c r="B232" s="7" t="n"/>
      <c r="C232" s="7" t="n"/>
      <c r="D232" s="8">
        <f>IF(OR(B232="",C232=""),"",INT(F232/60)&amp;"時間 "&amp;MOD(F232,60)&amp;"分")</f>
        <v/>
      </c>
      <c r="E232" s="9">
        <f>IF(OR(B232="",C232=""),"",F232/480*$H$1)</f>
        <v/>
      </c>
      <c r="F232" s="10">
        <f>IF(OR(B232="",C232=""),"",ROUND(MOD(C232-B232,1)*1440,0))</f>
        <v/>
      </c>
    </row>
    <row r="233">
      <c r="A233" s="6" t="n"/>
      <c r="B233" s="7" t="n"/>
      <c r="C233" s="7" t="n"/>
      <c r="D233" s="8">
        <f>IF(OR(B233="",C233=""),"",INT(F233/60)&amp;"時間 "&amp;MOD(F233,60)&amp;"分")</f>
        <v/>
      </c>
      <c r="E233" s="9">
        <f>IF(OR(B233="",C233=""),"",F233/480*$H$1)</f>
        <v/>
      </c>
      <c r="F233" s="10">
        <f>IF(OR(B233="",C233=""),"",ROUND(MOD(C233-B233,1)*1440,0))</f>
        <v/>
      </c>
    </row>
    <row r="234">
      <c r="A234" s="6" t="n"/>
      <c r="B234" s="7" t="n"/>
      <c r="C234" s="7" t="n"/>
      <c r="D234" s="8">
        <f>IF(OR(B234="",C234=""),"",INT(F234/60)&amp;"時間 "&amp;MOD(F234,60)&amp;"分")</f>
        <v/>
      </c>
      <c r="E234" s="9">
        <f>IF(OR(B234="",C234=""),"",F234/480*$H$1)</f>
        <v/>
      </c>
      <c r="F234" s="10">
        <f>IF(OR(B234="",C234=""),"",ROUND(MOD(C234-B234,1)*1440,0))</f>
        <v/>
      </c>
    </row>
    <row r="235">
      <c r="A235" s="6" t="n"/>
      <c r="B235" s="7" t="n"/>
      <c r="C235" s="7" t="n"/>
      <c r="D235" s="8">
        <f>IF(OR(B235="",C235=""),"",INT(F235/60)&amp;"時間 "&amp;MOD(F235,60)&amp;"分")</f>
        <v/>
      </c>
      <c r="E235" s="9">
        <f>IF(OR(B235="",C235=""),"",F235/480*$H$1)</f>
        <v/>
      </c>
      <c r="F235" s="10">
        <f>IF(OR(B235="",C235=""),"",ROUND(MOD(C235-B235,1)*1440,0))</f>
        <v/>
      </c>
    </row>
    <row r="236">
      <c r="A236" s="6" t="n"/>
      <c r="B236" s="7" t="n"/>
      <c r="C236" s="7" t="n"/>
      <c r="D236" s="8">
        <f>IF(OR(B236="",C236=""),"",INT(F236/60)&amp;"時間 "&amp;MOD(F236,60)&amp;"分")</f>
        <v/>
      </c>
      <c r="E236" s="9">
        <f>IF(OR(B236="",C236=""),"",F236/480*$H$1)</f>
        <v/>
      </c>
      <c r="F236" s="10">
        <f>IF(OR(B236="",C236=""),"",ROUND(MOD(C236-B236,1)*1440,0))</f>
        <v/>
      </c>
    </row>
    <row r="237">
      <c r="A237" s="6" t="n"/>
      <c r="B237" s="7" t="n"/>
      <c r="C237" s="7" t="n"/>
      <c r="D237" s="8">
        <f>IF(OR(B237="",C237=""),"",INT(F237/60)&amp;"時間 "&amp;MOD(F237,60)&amp;"分")</f>
        <v/>
      </c>
      <c r="E237" s="9">
        <f>IF(OR(B237="",C237=""),"",F237/480*$H$1)</f>
        <v/>
      </c>
      <c r="F237" s="10">
        <f>IF(OR(B237="",C237=""),"",ROUND(MOD(C237-B237,1)*1440,0))</f>
        <v/>
      </c>
    </row>
    <row r="238">
      <c r="A238" s="6" t="n"/>
      <c r="B238" s="7" t="n"/>
      <c r="C238" s="7" t="n"/>
      <c r="D238" s="8">
        <f>IF(OR(B238="",C238=""),"",INT(F238/60)&amp;"時間 "&amp;MOD(F238,60)&amp;"分")</f>
        <v/>
      </c>
      <c r="E238" s="9">
        <f>IF(OR(B238="",C238=""),"",F238/480*$H$1)</f>
        <v/>
      </c>
      <c r="F238" s="10">
        <f>IF(OR(B238="",C238=""),"",ROUND(MOD(C238-B238,1)*1440,0))</f>
        <v/>
      </c>
    </row>
    <row r="239">
      <c r="A239" s="6" t="n"/>
      <c r="B239" s="7" t="n"/>
      <c r="C239" s="7" t="n"/>
      <c r="D239" s="8">
        <f>IF(OR(B239="",C239=""),"",INT(F239/60)&amp;"時間 "&amp;MOD(F239,60)&amp;"分")</f>
        <v/>
      </c>
      <c r="E239" s="9">
        <f>IF(OR(B239="",C239=""),"",F239/480*$H$1)</f>
        <v/>
      </c>
      <c r="F239" s="10">
        <f>IF(OR(B239="",C239=""),"",ROUND(MOD(C239-B239,1)*1440,0))</f>
        <v/>
      </c>
    </row>
    <row r="240">
      <c r="A240" s="6" t="n"/>
      <c r="B240" s="7" t="n"/>
      <c r="C240" s="7" t="n"/>
      <c r="D240" s="8">
        <f>IF(OR(B240="",C240=""),"",INT(F240/60)&amp;"時間 "&amp;MOD(F240,60)&amp;"分")</f>
        <v/>
      </c>
      <c r="E240" s="9">
        <f>IF(OR(B240="",C240=""),"",F240/480*$H$1)</f>
        <v/>
      </c>
      <c r="F240" s="10">
        <f>IF(OR(B240="",C240=""),"",ROUND(MOD(C240-B240,1)*1440,0))</f>
        <v/>
      </c>
    </row>
    <row r="241">
      <c r="A241" s="6" t="n"/>
      <c r="B241" s="7" t="n"/>
      <c r="C241" s="7" t="n"/>
      <c r="D241" s="8">
        <f>IF(OR(B241="",C241=""),"",INT(F241/60)&amp;"時間 "&amp;MOD(F241,60)&amp;"分")</f>
        <v/>
      </c>
      <c r="E241" s="9">
        <f>IF(OR(B241="",C241=""),"",F241/480*$H$1)</f>
        <v/>
      </c>
      <c r="F241" s="10">
        <f>IF(OR(B241="",C241=""),"",ROUND(MOD(C241-B241,1)*1440,0))</f>
        <v/>
      </c>
    </row>
    <row r="242">
      <c r="A242" s="6" t="n"/>
      <c r="B242" s="7" t="n"/>
      <c r="C242" s="7" t="n"/>
      <c r="D242" s="8">
        <f>IF(OR(B242="",C242=""),"",INT(F242/60)&amp;"時間 "&amp;MOD(F242,60)&amp;"分")</f>
        <v/>
      </c>
      <c r="E242" s="9">
        <f>IF(OR(B242="",C242=""),"",F242/480*$H$1)</f>
        <v/>
      </c>
      <c r="F242" s="10">
        <f>IF(OR(B242="",C242=""),"",ROUND(MOD(C242-B242,1)*1440,0))</f>
        <v/>
      </c>
    </row>
    <row r="243">
      <c r="A243" s="6" t="n"/>
      <c r="B243" s="7" t="n"/>
      <c r="C243" s="7" t="n"/>
      <c r="D243" s="8">
        <f>IF(OR(B243="",C243=""),"",INT(F243/60)&amp;"時間 "&amp;MOD(F243,60)&amp;"分")</f>
        <v/>
      </c>
      <c r="E243" s="9">
        <f>IF(OR(B243="",C243=""),"",F243/480*$H$1)</f>
        <v/>
      </c>
      <c r="F243" s="10">
        <f>IF(OR(B243="",C243=""),"",ROUND(MOD(C243-B243,1)*1440,0))</f>
        <v/>
      </c>
    </row>
    <row r="244">
      <c r="A244" s="6" t="n"/>
      <c r="B244" s="7" t="n"/>
      <c r="C244" s="7" t="n"/>
      <c r="D244" s="8">
        <f>IF(OR(B244="",C244=""),"",INT(F244/60)&amp;"時間 "&amp;MOD(F244,60)&amp;"分")</f>
        <v/>
      </c>
      <c r="E244" s="9">
        <f>IF(OR(B244="",C244=""),"",F244/480*$H$1)</f>
        <v/>
      </c>
      <c r="F244" s="10">
        <f>IF(OR(B244="",C244=""),"",ROUND(MOD(C244-B244,1)*1440,0))</f>
        <v/>
      </c>
    </row>
    <row r="245">
      <c r="A245" s="6" t="n"/>
      <c r="B245" s="7" t="n"/>
      <c r="C245" s="7" t="n"/>
      <c r="D245" s="8">
        <f>IF(OR(B245="",C245=""),"",INT(F245/60)&amp;"時間 "&amp;MOD(F245,60)&amp;"分")</f>
        <v/>
      </c>
      <c r="E245" s="9">
        <f>IF(OR(B245="",C245=""),"",F245/480*$H$1)</f>
        <v/>
      </c>
      <c r="F245" s="10">
        <f>IF(OR(B245="",C245=""),"",ROUND(MOD(C245-B245,1)*1440,0))</f>
        <v/>
      </c>
    </row>
    <row r="246">
      <c r="A246" s="6" t="n"/>
      <c r="B246" s="7" t="n"/>
      <c r="C246" s="7" t="n"/>
      <c r="D246" s="8">
        <f>IF(OR(B246="",C246=""),"",INT(F246/60)&amp;"時間 "&amp;MOD(F246,60)&amp;"分")</f>
        <v/>
      </c>
      <c r="E246" s="9">
        <f>IF(OR(B246="",C246=""),"",F246/480*$H$1)</f>
        <v/>
      </c>
      <c r="F246" s="10">
        <f>IF(OR(B246="",C246=""),"",ROUND(MOD(C246-B246,1)*1440,0))</f>
        <v/>
      </c>
    </row>
    <row r="247">
      <c r="A247" s="6" t="n"/>
      <c r="B247" s="7" t="n"/>
      <c r="C247" s="7" t="n"/>
      <c r="D247" s="8">
        <f>IF(OR(B247="",C247=""),"",INT(F247/60)&amp;"時間 "&amp;MOD(F247,60)&amp;"分")</f>
        <v/>
      </c>
      <c r="E247" s="9">
        <f>IF(OR(B247="",C247=""),"",F247/480*$H$1)</f>
        <v/>
      </c>
      <c r="F247" s="10">
        <f>IF(OR(B247="",C247=""),"",ROUND(MOD(C247-B247,1)*1440,0))</f>
        <v/>
      </c>
    </row>
    <row r="248">
      <c r="A248" s="6" t="n"/>
      <c r="B248" s="7" t="n"/>
      <c r="C248" s="7" t="n"/>
      <c r="D248" s="8">
        <f>IF(OR(B248="",C248=""),"",INT(F248/60)&amp;"時間 "&amp;MOD(F248,60)&amp;"分")</f>
        <v/>
      </c>
      <c r="E248" s="9">
        <f>IF(OR(B248="",C248=""),"",F248/480*$H$1)</f>
        <v/>
      </c>
      <c r="F248" s="10">
        <f>IF(OR(B248="",C248=""),"",ROUND(MOD(C248-B248,1)*1440,0))</f>
        <v/>
      </c>
    </row>
    <row r="249">
      <c r="A249" s="6" t="n"/>
      <c r="B249" s="7" t="n"/>
      <c r="C249" s="7" t="n"/>
      <c r="D249" s="8">
        <f>IF(OR(B249="",C249=""),"",INT(F249/60)&amp;"時間 "&amp;MOD(F249,60)&amp;"分")</f>
        <v/>
      </c>
      <c r="E249" s="9">
        <f>IF(OR(B249="",C249=""),"",F249/480*$H$1)</f>
        <v/>
      </c>
      <c r="F249" s="10">
        <f>IF(OR(B249="",C249=""),"",ROUND(MOD(C249-B249,1)*1440,0))</f>
        <v/>
      </c>
    </row>
    <row r="250">
      <c r="A250" s="6" t="n"/>
      <c r="B250" s="7" t="n"/>
      <c r="C250" s="7" t="n"/>
      <c r="D250" s="8">
        <f>IF(OR(B250="",C250=""),"",INT(F250/60)&amp;"時間 "&amp;MOD(F250,60)&amp;"分")</f>
        <v/>
      </c>
      <c r="E250" s="9">
        <f>IF(OR(B250="",C250=""),"",F250/480*$H$1)</f>
        <v/>
      </c>
      <c r="F250" s="10">
        <f>IF(OR(B250="",C250=""),"",ROUND(MOD(C250-B250,1)*1440,0))</f>
        <v/>
      </c>
    </row>
    <row r="251">
      <c r="A251" s="6" t="n"/>
      <c r="B251" s="7" t="n"/>
      <c r="C251" s="7" t="n"/>
      <c r="D251" s="8">
        <f>IF(OR(B251="",C251=""),"",INT(F251/60)&amp;"時間 "&amp;MOD(F251,60)&amp;"分")</f>
        <v/>
      </c>
      <c r="E251" s="9">
        <f>IF(OR(B251="",C251=""),"",F251/480*$H$1)</f>
        <v/>
      </c>
      <c r="F251" s="10">
        <f>IF(OR(B251="",C251=""),"",ROUND(MOD(C251-B251,1)*1440,0))</f>
        <v/>
      </c>
    </row>
    <row r="252">
      <c r="A252" s="6" t="n"/>
      <c r="B252" s="7" t="n"/>
      <c r="C252" s="7" t="n"/>
      <c r="D252" s="8">
        <f>IF(OR(B252="",C252=""),"",INT(F252/60)&amp;"時間 "&amp;MOD(F252,60)&amp;"分")</f>
        <v/>
      </c>
      <c r="E252" s="9">
        <f>IF(OR(B252="",C252=""),"",F252/480*$H$1)</f>
        <v/>
      </c>
      <c r="F252" s="10">
        <f>IF(OR(B252="",C252=""),"",ROUND(MOD(C252-B252,1)*1440,0))</f>
        <v/>
      </c>
    </row>
    <row r="253">
      <c r="A253" s="6" t="n"/>
      <c r="B253" s="7" t="n"/>
      <c r="C253" s="7" t="n"/>
      <c r="D253" s="8">
        <f>IF(OR(B253="",C253=""),"",INT(F253/60)&amp;"時間 "&amp;MOD(F253,60)&amp;"分")</f>
        <v/>
      </c>
      <c r="E253" s="9">
        <f>IF(OR(B253="",C253=""),"",F253/480*$H$1)</f>
        <v/>
      </c>
      <c r="F253" s="10">
        <f>IF(OR(B253="",C253=""),"",ROUND(MOD(C253-B253,1)*1440,0))</f>
        <v/>
      </c>
    </row>
    <row r="254">
      <c r="A254" s="6" t="n"/>
      <c r="B254" s="7" t="n"/>
      <c r="C254" s="7" t="n"/>
      <c r="D254" s="8">
        <f>IF(OR(B254="",C254=""),"",INT(F254/60)&amp;"時間 "&amp;MOD(F254,60)&amp;"分")</f>
        <v/>
      </c>
      <c r="E254" s="9">
        <f>IF(OR(B254="",C254=""),"",F254/480*$H$1)</f>
        <v/>
      </c>
      <c r="F254" s="10">
        <f>IF(OR(B254="",C254=""),"",ROUND(MOD(C254-B254,1)*1440,0))</f>
        <v/>
      </c>
    </row>
    <row r="255">
      <c r="A255" s="6" t="n"/>
      <c r="B255" s="7" t="n"/>
      <c r="C255" s="7" t="n"/>
      <c r="D255" s="8">
        <f>IF(OR(B255="",C255=""),"",INT(F255/60)&amp;"時間 "&amp;MOD(F255,60)&amp;"分")</f>
        <v/>
      </c>
      <c r="E255" s="9">
        <f>IF(OR(B255="",C255=""),"",F255/480*$H$1)</f>
        <v/>
      </c>
      <c r="F255" s="10">
        <f>IF(OR(B255="",C255=""),"",ROUND(MOD(C255-B255,1)*1440,0))</f>
        <v/>
      </c>
    </row>
    <row r="256">
      <c r="A256" s="6" t="n"/>
      <c r="B256" s="7" t="n"/>
      <c r="C256" s="7" t="n"/>
      <c r="D256" s="8">
        <f>IF(OR(B256="",C256=""),"",INT(F256/60)&amp;"時間 "&amp;MOD(F256,60)&amp;"分")</f>
        <v/>
      </c>
      <c r="E256" s="9">
        <f>IF(OR(B256="",C256=""),"",F256/480*$H$1)</f>
        <v/>
      </c>
      <c r="F256" s="10">
        <f>IF(OR(B256="",C256=""),"",ROUND(MOD(C256-B256,1)*1440,0))</f>
        <v/>
      </c>
    </row>
    <row r="257">
      <c r="A257" s="6" t="n"/>
      <c r="B257" s="7" t="n"/>
      <c r="C257" s="7" t="n"/>
      <c r="D257" s="8">
        <f>IF(OR(B257="",C257=""),"",INT(F257/60)&amp;"時間 "&amp;MOD(F257,60)&amp;"分")</f>
        <v/>
      </c>
      <c r="E257" s="9">
        <f>IF(OR(B257="",C257=""),"",F257/480*$H$1)</f>
        <v/>
      </c>
      <c r="F257" s="10">
        <f>IF(OR(B257="",C257=""),"",ROUND(MOD(C257-B257,1)*1440,0))</f>
        <v/>
      </c>
    </row>
    <row r="258">
      <c r="A258" s="6" t="n"/>
      <c r="B258" s="7" t="n"/>
      <c r="C258" s="7" t="n"/>
      <c r="D258" s="8">
        <f>IF(OR(B258="",C258=""),"",INT(F258/60)&amp;"時間 "&amp;MOD(F258,60)&amp;"分")</f>
        <v/>
      </c>
      <c r="E258" s="9">
        <f>IF(OR(B258="",C258=""),"",F258/480*$H$1)</f>
        <v/>
      </c>
      <c r="F258" s="10">
        <f>IF(OR(B258="",C258=""),"",ROUND(MOD(C258-B258,1)*1440,0))</f>
        <v/>
      </c>
    </row>
    <row r="259">
      <c r="A259" s="6" t="n"/>
      <c r="B259" s="7" t="n"/>
      <c r="C259" s="7" t="n"/>
      <c r="D259" s="8">
        <f>IF(OR(B259="",C259=""),"",INT(F259/60)&amp;"時間 "&amp;MOD(F259,60)&amp;"分")</f>
        <v/>
      </c>
      <c r="E259" s="9">
        <f>IF(OR(B259="",C259=""),"",F259/480*$H$1)</f>
        <v/>
      </c>
      <c r="F259" s="10">
        <f>IF(OR(B259="",C259=""),"",ROUND(MOD(C259-B259,1)*1440,0))</f>
        <v/>
      </c>
    </row>
    <row r="260">
      <c r="A260" s="6" t="n"/>
      <c r="B260" s="7" t="n"/>
      <c r="C260" s="7" t="n"/>
      <c r="D260" s="8">
        <f>IF(OR(B260="",C260=""),"",INT(F260/60)&amp;"時間 "&amp;MOD(F260,60)&amp;"分")</f>
        <v/>
      </c>
      <c r="E260" s="9">
        <f>IF(OR(B260="",C260=""),"",F260/480*$H$1)</f>
        <v/>
      </c>
      <c r="F260" s="10">
        <f>IF(OR(B260="",C260=""),"",ROUND(MOD(C260-B260,1)*1440,0))</f>
        <v/>
      </c>
    </row>
    <row r="261">
      <c r="A261" s="6" t="n"/>
      <c r="B261" s="7" t="n"/>
      <c r="C261" s="7" t="n"/>
      <c r="D261" s="8">
        <f>IF(OR(B261="",C261=""),"",INT(F261/60)&amp;"時間 "&amp;MOD(F261,60)&amp;"分")</f>
        <v/>
      </c>
      <c r="E261" s="9">
        <f>IF(OR(B261="",C261=""),"",F261/480*$H$1)</f>
        <v/>
      </c>
      <c r="F261" s="10">
        <f>IF(OR(B261="",C261=""),"",ROUND(MOD(C261-B261,1)*1440,0))</f>
        <v/>
      </c>
    </row>
    <row r="262">
      <c r="A262" s="6" t="n"/>
      <c r="B262" s="7" t="n"/>
      <c r="C262" s="7" t="n"/>
      <c r="D262" s="8">
        <f>IF(OR(B262="",C262=""),"",INT(F262/60)&amp;"時間 "&amp;MOD(F262,60)&amp;"分")</f>
        <v/>
      </c>
      <c r="E262" s="9">
        <f>IF(OR(B262="",C262=""),"",F262/480*$H$1)</f>
        <v/>
      </c>
      <c r="F262" s="10">
        <f>IF(OR(B262="",C262=""),"",ROUND(MOD(C262-B262,1)*1440,0))</f>
        <v/>
      </c>
    </row>
    <row r="263">
      <c r="A263" s="6" t="n"/>
      <c r="B263" s="7" t="n"/>
      <c r="C263" s="7" t="n"/>
      <c r="D263" s="8">
        <f>IF(OR(B263="",C263=""),"",INT(F263/60)&amp;"時間 "&amp;MOD(F263,60)&amp;"分")</f>
        <v/>
      </c>
      <c r="E263" s="9">
        <f>IF(OR(B263="",C263=""),"",F263/480*$H$1)</f>
        <v/>
      </c>
      <c r="F263" s="10">
        <f>IF(OR(B263="",C263=""),"",ROUND(MOD(C263-B263,1)*1440,0))</f>
        <v/>
      </c>
    </row>
    <row r="264">
      <c r="A264" s="6" t="n"/>
      <c r="B264" s="7" t="n"/>
      <c r="C264" s="7" t="n"/>
      <c r="D264" s="8">
        <f>IF(OR(B264="",C264=""),"",INT(F264/60)&amp;"時間 "&amp;MOD(F264,60)&amp;"分")</f>
        <v/>
      </c>
      <c r="E264" s="9">
        <f>IF(OR(B264="",C264=""),"",F264/480*$H$1)</f>
        <v/>
      </c>
      <c r="F264" s="10">
        <f>IF(OR(B264="",C264=""),"",ROUND(MOD(C264-B264,1)*1440,0))</f>
        <v/>
      </c>
    </row>
    <row r="265">
      <c r="A265" s="6" t="n"/>
      <c r="B265" s="7" t="n"/>
      <c r="C265" s="7" t="n"/>
      <c r="D265" s="8">
        <f>IF(OR(B265="",C265=""),"",INT(F265/60)&amp;"時間 "&amp;MOD(F265,60)&amp;"分")</f>
        <v/>
      </c>
      <c r="E265" s="9">
        <f>IF(OR(B265="",C265=""),"",F265/480*$H$1)</f>
        <v/>
      </c>
      <c r="F265" s="10">
        <f>IF(OR(B265="",C265=""),"",ROUND(MOD(C265-B265,1)*1440,0))</f>
        <v/>
      </c>
    </row>
    <row r="266">
      <c r="A266" s="6" t="n"/>
      <c r="B266" s="7" t="n"/>
      <c r="C266" s="7" t="n"/>
      <c r="D266" s="8">
        <f>IF(OR(B266="",C266=""),"",INT(F266/60)&amp;"時間 "&amp;MOD(F266,60)&amp;"分")</f>
        <v/>
      </c>
      <c r="E266" s="9">
        <f>IF(OR(B266="",C266=""),"",F266/480*$H$1)</f>
        <v/>
      </c>
      <c r="F266" s="10">
        <f>IF(OR(B266="",C266=""),"",ROUND(MOD(C266-B266,1)*1440,0))</f>
        <v/>
      </c>
    </row>
    <row r="267">
      <c r="A267" s="6" t="n"/>
      <c r="B267" s="7" t="n"/>
      <c r="C267" s="7" t="n"/>
      <c r="D267" s="8">
        <f>IF(OR(B267="",C267=""),"",INT(F267/60)&amp;"時間 "&amp;MOD(F267,60)&amp;"分")</f>
        <v/>
      </c>
      <c r="E267" s="9">
        <f>IF(OR(B267="",C267=""),"",F267/480*$H$1)</f>
        <v/>
      </c>
      <c r="F267" s="10">
        <f>IF(OR(B267="",C267=""),"",ROUND(MOD(C267-B267,1)*1440,0))</f>
        <v/>
      </c>
    </row>
    <row r="268">
      <c r="A268" s="6" t="n"/>
      <c r="B268" s="7" t="n"/>
      <c r="C268" s="7" t="n"/>
      <c r="D268" s="8">
        <f>IF(OR(B268="",C268=""),"",INT(F268/60)&amp;"時間 "&amp;MOD(F268,60)&amp;"分")</f>
        <v/>
      </c>
      <c r="E268" s="9">
        <f>IF(OR(B268="",C268=""),"",F268/480*$H$1)</f>
        <v/>
      </c>
      <c r="F268" s="10">
        <f>IF(OR(B268="",C268=""),"",ROUND(MOD(C268-B268,1)*1440,0))</f>
        <v/>
      </c>
    </row>
    <row r="269">
      <c r="A269" s="6" t="n"/>
      <c r="B269" s="7" t="n"/>
      <c r="C269" s="7" t="n"/>
      <c r="D269" s="8">
        <f>IF(OR(B269="",C269=""),"",INT(F269/60)&amp;"時間 "&amp;MOD(F269,60)&amp;"分")</f>
        <v/>
      </c>
      <c r="E269" s="9">
        <f>IF(OR(B269="",C269=""),"",F269/480*$H$1)</f>
        <v/>
      </c>
      <c r="F269" s="10">
        <f>IF(OR(B269="",C269=""),"",ROUND(MOD(C269-B269,1)*1440,0))</f>
        <v/>
      </c>
    </row>
    <row r="270">
      <c r="A270" s="6" t="n"/>
      <c r="B270" s="7" t="n"/>
      <c r="C270" s="7" t="n"/>
      <c r="D270" s="8">
        <f>IF(OR(B270="",C270=""),"",INT(F270/60)&amp;"時間 "&amp;MOD(F270,60)&amp;"分")</f>
        <v/>
      </c>
      <c r="E270" s="9">
        <f>IF(OR(B270="",C270=""),"",F270/480*$H$1)</f>
        <v/>
      </c>
      <c r="F270" s="10">
        <f>IF(OR(B270="",C270=""),"",ROUND(MOD(C270-B270,1)*1440,0))</f>
        <v/>
      </c>
    </row>
    <row r="271">
      <c r="A271" s="6" t="n"/>
      <c r="B271" s="7" t="n"/>
      <c r="C271" s="7" t="n"/>
      <c r="D271" s="8">
        <f>IF(OR(B271="",C271=""),"",INT(F271/60)&amp;"時間 "&amp;MOD(F271,60)&amp;"分")</f>
        <v/>
      </c>
      <c r="E271" s="9">
        <f>IF(OR(B271="",C271=""),"",F271/480*$H$1)</f>
        <v/>
      </c>
      <c r="F271" s="10">
        <f>IF(OR(B271="",C271=""),"",ROUND(MOD(C271-B271,1)*1440,0))</f>
        <v/>
      </c>
    </row>
    <row r="272">
      <c r="A272" s="6" t="n"/>
      <c r="B272" s="7" t="n"/>
      <c r="C272" s="7" t="n"/>
      <c r="D272" s="8">
        <f>IF(OR(B272="",C272=""),"",INT(F272/60)&amp;"時間 "&amp;MOD(F272,60)&amp;"分")</f>
        <v/>
      </c>
      <c r="E272" s="9">
        <f>IF(OR(B272="",C272=""),"",F272/480*$H$1)</f>
        <v/>
      </c>
      <c r="F272" s="10">
        <f>IF(OR(B272="",C272=""),"",ROUND(MOD(C272-B272,1)*1440,0))</f>
        <v/>
      </c>
    </row>
    <row r="273">
      <c r="A273" s="6" t="n"/>
      <c r="B273" s="7" t="n"/>
      <c r="C273" s="7" t="n"/>
      <c r="D273" s="8">
        <f>IF(OR(B273="",C273=""),"",INT(F273/60)&amp;"時間 "&amp;MOD(F273,60)&amp;"分")</f>
        <v/>
      </c>
      <c r="E273" s="9">
        <f>IF(OR(B273="",C273=""),"",F273/480*$H$1)</f>
        <v/>
      </c>
      <c r="F273" s="10">
        <f>IF(OR(B273="",C273=""),"",ROUND(MOD(C273-B273,1)*1440,0))</f>
        <v/>
      </c>
    </row>
    <row r="274">
      <c r="A274" s="6" t="n"/>
      <c r="B274" s="7" t="n"/>
      <c r="C274" s="7" t="n"/>
      <c r="D274" s="8">
        <f>IF(OR(B274="",C274=""),"",INT(F274/60)&amp;"時間 "&amp;MOD(F274,60)&amp;"分")</f>
        <v/>
      </c>
      <c r="E274" s="9">
        <f>IF(OR(B274="",C274=""),"",F274/480*$H$1)</f>
        <v/>
      </c>
      <c r="F274" s="10">
        <f>IF(OR(B274="",C274=""),"",ROUND(MOD(C274-B274,1)*1440,0))</f>
        <v/>
      </c>
    </row>
    <row r="275">
      <c r="A275" s="6" t="n"/>
      <c r="B275" s="7" t="n"/>
      <c r="C275" s="7" t="n"/>
      <c r="D275" s="8">
        <f>IF(OR(B275="",C275=""),"",INT(F275/60)&amp;"時間 "&amp;MOD(F275,60)&amp;"分")</f>
        <v/>
      </c>
      <c r="E275" s="9">
        <f>IF(OR(B275="",C275=""),"",F275/480*$H$1)</f>
        <v/>
      </c>
      <c r="F275" s="10">
        <f>IF(OR(B275="",C275=""),"",ROUND(MOD(C275-B275,1)*1440,0))</f>
        <v/>
      </c>
    </row>
    <row r="276">
      <c r="A276" s="6" t="n"/>
      <c r="B276" s="7" t="n"/>
      <c r="C276" s="7" t="n"/>
      <c r="D276" s="8">
        <f>IF(OR(B276="",C276=""),"",INT(F276/60)&amp;"時間 "&amp;MOD(F276,60)&amp;"分")</f>
        <v/>
      </c>
      <c r="E276" s="9">
        <f>IF(OR(B276="",C276=""),"",F276/480*$H$1)</f>
        <v/>
      </c>
      <c r="F276" s="10">
        <f>IF(OR(B276="",C276=""),"",ROUND(MOD(C276-B276,1)*1440,0))</f>
        <v/>
      </c>
    </row>
    <row r="277">
      <c r="A277" s="6" t="n"/>
      <c r="B277" s="7" t="n"/>
      <c r="C277" s="7" t="n"/>
      <c r="D277" s="8">
        <f>IF(OR(B277="",C277=""),"",INT(F277/60)&amp;"時間 "&amp;MOD(F277,60)&amp;"分")</f>
        <v/>
      </c>
      <c r="E277" s="9">
        <f>IF(OR(B277="",C277=""),"",F277/480*$H$1)</f>
        <v/>
      </c>
      <c r="F277" s="10">
        <f>IF(OR(B277="",C277=""),"",ROUND(MOD(C277-B277,1)*1440,0))</f>
        <v/>
      </c>
    </row>
    <row r="278">
      <c r="A278" s="6" t="n"/>
      <c r="B278" s="7" t="n"/>
      <c r="C278" s="7" t="n"/>
      <c r="D278" s="8">
        <f>IF(OR(B278="",C278=""),"",INT(F278/60)&amp;"時間 "&amp;MOD(F278,60)&amp;"分")</f>
        <v/>
      </c>
      <c r="E278" s="9">
        <f>IF(OR(B278="",C278=""),"",F278/480*$H$1)</f>
        <v/>
      </c>
      <c r="F278" s="10">
        <f>IF(OR(B278="",C278=""),"",ROUND(MOD(C278-B278,1)*1440,0))</f>
        <v/>
      </c>
    </row>
    <row r="279">
      <c r="A279" s="6" t="n"/>
      <c r="B279" s="7" t="n"/>
      <c r="C279" s="7" t="n"/>
      <c r="D279" s="8">
        <f>IF(OR(B279="",C279=""),"",INT(F279/60)&amp;"時間 "&amp;MOD(F279,60)&amp;"分")</f>
        <v/>
      </c>
      <c r="E279" s="9">
        <f>IF(OR(B279="",C279=""),"",F279/480*$H$1)</f>
        <v/>
      </c>
      <c r="F279" s="10">
        <f>IF(OR(B279="",C279=""),"",ROUND(MOD(C279-B279,1)*1440,0))</f>
        <v/>
      </c>
    </row>
    <row r="280">
      <c r="A280" s="6" t="n"/>
      <c r="B280" s="7" t="n"/>
      <c r="C280" s="7" t="n"/>
      <c r="D280" s="8">
        <f>IF(OR(B280="",C280=""),"",INT(F280/60)&amp;"時間 "&amp;MOD(F280,60)&amp;"分")</f>
        <v/>
      </c>
      <c r="E280" s="9">
        <f>IF(OR(B280="",C280=""),"",F280/480*$H$1)</f>
        <v/>
      </c>
      <c r="F280" s="10">
        <f>IF(OR(B280="",C280=""),"",ROUND(MOD(C280-B280,1)*1440,0))</f>
        <v/>
      </c>
    </row>
    <row r="281">
      <c r="A281" s="6" t="n"/>
      <c r="B281" s="7" t="n"/>
      <c r="C281" s="7" t="n"/>
      <c r="D281" s="8">
        <f>IF(OR(B281="",C281=""),"",INT(F281/60)&amp;"時間 "&amp;MOD(F281,60)&amp;"分")</f>
        <v/>
      </c>
      <c r="E281" s="9">
        <f>IF(OR(B281="",C281=""),"",F281/480*$H$1)</f>
        <v/>
      </c>
      <c r="F281" s="10">
        <f>IF(OR(B281="",C281=""),"",ROUND(MOD(C281-B281,1)*1440,0))</f>
        <v/>
      </c>
    </row>
    <row r="282">
      <c r="A282" s="6" t="n"/>
      <c r="B282" s="7" t="n"/>
      <c r="C282" s="7" t="n"/>
      <c r="D282" s="8">
        <f>IF(OR(B282="",C282=""),"",INT(F282/60)&amp;"時間 "&amp;MOD(F282,60)&amp;"分")</f>
        <v/>
      </c>
      <c r="E282" s="9">
        <f>IF(OR(B282="",C282=""),"",F282/480*$H$1)</f>
        <v/>
      </c>
      <c r="F282" s="10">
        <f>IF(OR(B282="",C282=""),"",ROUND(MOD(C282-B282,1)*1440,0))</f>
        <v/>
      </c>
    </row>
    <row r="283">
      <c r="A283" s="6" t="n"/>
      <c r="B283" s="7" t="n"/>
      <c r="C283" s="7" t="n"/>
      <c r="D283" s="8">
        <f>IF(OR(B283="",C283=""),"",INT(F283/60)&amp;"時間 "&amp;MOD(F283,60)&amp;"分")</f>
        <v/>
      </c>
      <c r="E283" s="9">
        <f>IF(OR(B283="",C283=""),"",F283/480*$H$1)</f>
        <v/>
      </c>
      <c r="F283" s="10">
        <f>IF(OR(B283="",C283=""),"",ROUND(MOD(C283-B283,1)*1440,0))</f>
        <v/>
      </c>
    </row>
    <row r="284">
      <c r="A284" s="6" t="n"/>
      <c r="B284" s="7" t="n"/>
      <c r="C284" s="7" t="n"/>
      <c r="D284" s="8">
        <f>IF(OR(B284="",C284=""),"",INT(F284/60)&amp;"時間 "&amp;MOD(F284,60)&amp;"分")</f>
        <v/>
      </c>
      <c r="E284" s="9">
        <f>IF(OR(B284="",C284=""),"",F284/480*$H$1)</f>
        <v/>
      </c>
      <c r="F284" s="10">
        <f>IF(OR(B284="",C284=""),"",ROUND(MOD(C284-B284,1)*1440,0))</f>
        <v/>
      </c>
    </row>
    <row r="285">
      <c r="A285" s="6" t="n"/>
      <c r="B285" s="7" t="n"/>
      <c r="C285" s="7" t="n"/>
      <c r="D285" s="8">
        <f>IF(OR(B285="",C285=""),"",INT(F285/60)&amp;"時間 "&amp;MOD(F285,60)&amp;"分")</f>
        <v/>
      </c>
      <c r="E285" s="9">
        <f>IF(OR(B285="",C285=""),"",F285/480*$H$1)</f>
        <v/>
      </c>
      <c r="F285" s="10">
        <f>IF(OR(B285="",C285=""),"",ROUND(MOD(C285-B285,1)*1440,0))</f>
        <v/>
      </c>
    </row>
    <row r="286">
      <c r="A286" s="6" t="n"/>
      <c r="B286" s="7" t="n"/>
      <c r="C286" s="7" t="n"/>
      <c r="D286" s="8">
        <f>IF(OR(B286="",C286=""),"",INT(F286/60)&amp;"時間 "&amp;MOD(F286,60)&amp;"分")</f>
        <v/>
      </c>
      <c r="E286" s="9">
        <f>IF(OR(B286="",C286=""),"",F286/480*$H$1)</f>
        <v/>
      </c>
      <c r="F286" s="10">
        <f>IF(OR(B286="",C286=""),"",ROUND(MOD(C286-B286,1)*1440,0))</f>
        <v/>
      </c>
    </row>
    <row r="287">
      <c r="A287" s="6" t="n"/>
      <c r="B287" s="7" t="n"/>
      <c r="C287" s="7" t="n"/>
      <c r="D287" s="8">
        <f>IF(OR(B287="",C287=""),"",INT(F287/60)&amp;"時間 "&amp;MOD(F287,60)&amp;"分")</f>
        <v/>
      </c>
      <c r="E287" s="9">
        <f>IF(OR(B287="",C287=""),"",F287/480*$H$1)</f>
        <v/>
      </c>
      <c r="F287" s="10">
        <f>IF(OR(B287="",C287=""),"",ROUND(MOD(C287-B287,1)*1440,0))</f>
        <v/>
      </c>
    </row>
    <row r="288">
      <c r="A288" s="6" t="n"/>
      <c r="B288" s="7" t="n"/>
      <c r="C288" s="7" t="n"/>
      <c r="D288" s="8">
        <f>IF(OR(B288="",C288=""),"",INT(F288/60)&amp;"時間 "&amp;MOD(F288,60)&amp;"分")</f>
        <v/>
      </c>
      <c r="E288" s="9">
        <f>IF(OR(B288="",C288=""),"",F288/480*$H$1)</f>
        <v/>
      </c>
      <c r="F288" s="10">
        <f>IF(OR(B288="",C288=""),"",ROUND(MOD(C288-B288,1)*1440,0))</f>
        <v/>
      </c>
    </row>
    <row r="289">
      <c r="A289" s="6" t="n"/>
      <c r="B289" s="7" t="n"/>
      <c r="C289" s="7" t="n"/>
      <c r="D289" s="8">
        <f>IF(OR(B289="",C289=""),"",INT(F289/60)&amp;"時間 "&amp;MOD(F289,60)&amp;"分")</f>
        <v/>
      </c>
      <c r="E289" s="9">
        <f>IF(OR(B289="",C289=""),"",F289/480*$H$1)</f>
        <v/>
      </c>
      <c r="F289" s="10">
        <f>IF(OR(B289="",C289=""),"",ROUND(MOD(C289-B289,1)*1440,0))</f>
        <v/>
      </c>
    </row>
    <row r="290">
      <c r="A290" s="6" t="n"/>
      <c r="B290" s="7" t="n"/>
      <c r="C290" s="7" t="n"/>
      <c r="D290" s="8">
        <f>IF(OR(B290="",C290=""),"",INT(F290/60)&amp;"時間 "&amp;MOD(F290,60)&amp;"分")</f>
        <v/>
      </c>
      <c r="E290" s="9">
        <f>IF(OR(B290="",C290=""),"",F290/480*$H$1)</f>
        <v/>
      </c>
      <c r="F290" s="10">
        <f>IF(OR(B290="",C290=""),"",ROUND(MOD(C290-B290,1)*1440,0))</f>
        <v/>
      </c>
    </row>
    <row r="291">
      <c r="A291" s="6" t="n"/>
      <c r="B291" s="7" t="n"/>
      <c r="C291" s="7" t="n"/>
      <c r="D291" s="8">
        <f>IF(OR(B291="",C291=""),"",INT(F291/60)&amp;"時間 "&amp;MOD(F291,60)&amp;"分")</f>
        <v/>
      </c>
      <c r="E291" s="9">
        <f>IF(OR(B291="",C291=""),"",F291/480*$H$1)</f>
        <v/>
      </c>
      <c r="F291" s="10">
        <f>IF(OR(B291="",C291=""),"",ROUND(MOD(C291-B291,1)*1440,0))</f>
        <v/>
      </c>
    </row>
    <row r="292">
      <c r="A292" s="6" t="n"/>
      <c r="B292" s="7" t="n"/>
      <c r="C292" s="7" t="n"/>
      <c r="D292" s="8">
        <f>IF(OR(B292="",C292=""),"",INT(F292/60)&amp;"時間 "&amp;MOD(F292,60)&amp;"分")</f>
        <v/>
      </c>
      <c r="E292" s="9">
        <f>IF(OR(B292="",C292=""),"",F292/480*$H$1)</f>
        <v/>
      </c>
      <c r="F292" s="10">
        <f>IF(OR(B292="",C292=""),"",ROUND(MOD(C292-B292,1)*1440,0))</f>
        <v/>
      </c>
    </row>
    <row r="293">
      <c r="A293" s="6" t="n"/>
      <c r="B293" s="7" t="n"/>
      <c r="C293" s="7" t="n"/>
      <c r="D293" s="8">
        <f>IF(OR(B293="",C293=""),"",INT(F293/60)&amp;"時間 "&amp;MOD(F293,60)&amp;"分")</f>
        <v/>
      </c>
      <c r="E293" s="9">
        <f>IF(OR(B293="",C293=""),"",F293/480*$H$1)</f>
        <v/>
      </c>
      <c r="F293" s="10">
        <f>IF(OR(B293="",C293=""),"",ROUND(MOD(C293-B293,1)*1440,0))</f>
        <v/>
      </c>
    </row>
    <row r="294">
      <c r="A294" s="6" t="n"/>
      <c r="B294" s="7" t="n"/>
      <c r="C294" s="7" t="n"/>
      <c r="D294" s="8">
        <f>IF(OR(B294="",C294=""),"",INT(F294/60)&amp;"時間 "&amp;MOD(F294,60)&amp;"分")</f>
        <v/>
      </c>
      <c r="E294" s="9">
        <f>IF(OR(B294="",C294=""),"",F294/480*$H$1)</f>
        <v/>
      </c>
      <c r="F294" s="10">
        <f>IF(OR(B294="",C294=""),"",ROUND(MOD(C294-B294,1)*1440,0))</f>
        <v/>
      </c>
    </row>
    <row r="295">
      <c r="A295" s="6" t="n"/>
      <c r="B295" s="7" t="n"/>
      <c r="C295" s="7" t="n"/>
      <c r="D295" s="8">
        <f>IF(OR(B295="",C295=""),"",INT(F295/60)&amp;"時間 "&amp;MOD(F295,60)&amp;"分")</f>
        <v/>
      </c>
      <c r="E295" s="9">
        <f>IF(OR(B295="",C295=""),"",F295/480*$H$1)</f>
        <v/>
      </c>
      <c r="F295" s="10">
        <f>IF(OR(B295="",C295=""),"",ROUND(MOD(C295-B295,1)*1440,0))</f>
        <v/>
      </c>
    </row>
    <row r="296">
      <c r="A296" s="6" t="n"/>
      <c r="B296" s="7" t="n"/>
      <c r="C296" s="7" t="n"/>
      <c r="D296" s="8">
        <f>IF(OR(B296="",C296=""),"",INT(F296/60)&amp;"時間 "&amp;MOD(F296,60)&amp;"分")</f>
        <v/>
      </c>
      <c r="E296" s="9">
        <f>IF(OR(B296="",C296=""),"",F296/480*$H$1)</f>
        <v/>
      </c>
      <c r="F296" s="10">
        <f>IF(OR(B296="",C296=""),"",ROUND(MOD(C296-B296,1)*1440,0))</f>
        <v/>
      </c>
    </row>
    <row r="297">
      <c r="A297" s="6" t="n"/>
      <c r="B297" s="7" t="n"/>
      <c r="C297" s="7" t="n"/>
      <c r="D297" s="8">
        <f>IF(OR(B297="",C297=""),"",INT(F297/60)&amp;"時間 "&amp;MOD(F297,60)&amp;"分")</f>
        <v/>
      </c>
      <c r="E297" s="9">
        <f>IF(OR(B297="",C297=""),"",F297/480*$H$1)</f>
        <v/>
      </c>
      <c r="F297" s="10">
        <f>IF(OR(B297="",C297=""),"",ROUND(MOD(C297-B297,1)*1440,0))</f>
        <v/>
      </c>
    </row>
    <row r="298">
      <c r="A298" s="6" t="n"/>
      <c r="B298" s="7" t="n"/>
      <c r="C298" s="7" t="n"/>
      <c r="D298" s="8">
        <f>IF(OR(B298="",C298=""),"",INT(F298/60)&amp;"時間 "&amp;MOD(F298,60)&amp;"分")</f>
        <v/>
      </c>
      <c r="E298" s="9">
        <f>IF(OR(B298="",C298=""),"",F298/480*$H$1)</f>
        <v/>
      </c>
      <c r="F298" s="10">
        <f>IF(OR(B298="",C298=""),"",ROUND(MOD(C298-B298,1)*1440,0))</f>
        <v/>
      </c>
    </row>
    <row r="299">
      <c r="A299" s="6" t="n"/>
      <c r="B299" s="7" t="n"/>
      <c r="C299" s="7" t="n"/>
      <c r="D299" s="8">
        <f>IF(OR(B299="",C299=""),"",INT(F299/60)&amp;"時間 "&amp;MOD(F299,60)&amp;"分")</f>
        <v/>
      </c>
      <c r="E299" s="9">
        <f>IF(OR(B299="",C299=""),"",F299/480*$H$1)</f>
        <v/>
      </c>
      <c r="F299" s="10">
        <f>IF(OR(B299="",C299=""),"",ROUND(MOD(C299-B299,1)*1440,0))</f>
        <v/>
      </c>
    </row>
    <row r="300">
      <c r="A300" s="6" t="n"/>
      <c r="B300" s="7" t="n"/>
      <c r="C300" s="7" t="n"/>
      <c r="D300" s="8">
        <f>IF(OR(B300="",C300=""),"",INT(F300/60)&amp;"時間 "&amp;MOD(F300,60)&amp;"分")</f>
        <v/>
      </c>
      <c r="E300" s="9">
        <f>IF(OR(B300="",C300=""),"",F300/480*$H$1)</f>
        <v/>
      </c>
      <c r="F300" s="10">
        <f>IF(OR(B300="",C300=""),"",ROUND(MOD(C300-B300,1)*1440,0))</f>
        <v/>
      </c>
    </row>
    <row r="301">
      <c r="A301" s="6" t="n"/>
      <c r="B301" s="7" t="n"/>
      <c r="C301" s="7" t="n"/>
      <c r="D301" s="8">
        <f>IF(OR(B301="",C301=""),"",INT(F301/60)&amp;"時間 "&amp;MOD(F301,60)&amp;"分")</f>
        <v/>
      </c>
      <c r="E301" s="9">
        <f>IF(OR(B301="",C301=""),"",F301/480*$H$1)</f>
        <v/>
      </c>
      <c r="F301" s="10">
        <f>IF(OR(B301="",C301=""),"",ROUND(MOD(C301-B301,1)*1440,0))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2026-07-28T10:16:35Z</dcterms:created>
  <dcterms:modified xsi:type="dcterms:W3CDTF">2026-07-28T10:16:35Z</dcterms:modified>
</cp:coreProperties>
</file>